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iang\OneDrive\"/>
    </mc:Choice>
  </mc:AlternateContent>
  <xr:revisionPtr revIDLastSave="2" documentId="13_ncr:1_{24FE39E4-BE90-4ABE-A3C7-19D0F28D1760}" xr6:coauthVersionLast="45" xr6:coauthVersionMax="45" xr10:uidLastSave="{A444FA06-6081-4E3B-8345-A70E3183C439}"/>
  <bookViews>
    <workbookView xWindow="-108" yWindow="-108" windowWidth="23256" windowHeight="13176" activeTab="1" xr2:uid="{00000000-000D-0000-FFFF-FFFF00000000}"/>
  </bookViews>
  <sheets>
    <sheet name="index" sheetId="1" r:id="rId1"/>
    <sheet name="dash" sheetId="4" r:id="rId2"/>
    <sheet name="data" sheetId="2" state="hidden" r:id="rId3"/>
    <sheet name="data1" sheetId="3" r:id="rId4"/>
  </sheets>
  <functionGroups builtInGroupCount="19"/>
  <definedNames>
    <definedName name="cur_label">index!$J$12</definedName>
    <definedName name="cur_region">index!$J$10</definedName>
    <definedName name="cur_region_by_barchart">index!$J$24</definedName>
    <definedName name="cur_sel">index!$J$3</definedName>
    <definedName name="cur_sel_id">index!$J$4</definedName>
    <definedName name="enable_move">index!$J$6</definedName>
    <definedName name="INEXES">index!$B$1:$D$53</definedName>
    <definedName name="MAXX">index!$I$3</definedName>
    <definedName name="MINX">index!$I$4</definedName>
    <definedName name="查询来自_Excel_Files" localSheetId="3" hidden="1">data1!$B$4:$BE$56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2" i="4" l="1"/>
  <c r="B2" i="3" s="1"/>
  <c r="W4" i="1" l="1"/>
  <c r="W6" i="1"/>
  <c r="W8" i="1"/>
  <c r="W10" i="1"/>
  <c r="W12" i="1"/>
  <c r="W14" i="1"/>
  <c r="W16" i="1"/>
  <c r="W18" i="1"/>
  <c r="W20" i="1"/>
  <c r="W22" i="1"/>
  <c r="W24" i="1"/>
  <c r="W26" i="1"/>
  <c r="W28" i="1"/>
  <c r="W30" i="1"/>
  <c r="W32" i="1"/>
  <c r="W34" i="1"/>
  <c r="W36" i="1"/>
  <c r="W38" i="1"/>
  <c r="W40" i="1"/>
  <c r="W42" i="1"/>
  <c r="W44" i="1"/>
  <c r="W46" i="1"/>
  <c r="W48" i="1"/>
  <c r="W50" i="1"/>
  <c r="W52" i="1"/>
  <c r="W2" i="1"/>
  <c r="X3" i="1"/>
  <c r="X5" i="1"/>
  <c r="X7" i="1"/>
  <c r="X9" i="1"/>
  <c r="X11" i="1"/>
  <c r="X13" i="1"/>
  <c r="X15" i="1"/>
  <c r="X17" i="1"/>
  <c r="X19" i="1"/>
  <c r="X21" i="1"/>
  <c r="X23" i="1"/>
  <c r="X25" i="1"/>
  <c r="X27" i="1"/>
  <c r="X29" i="1"/>
  <c r="X31" i="1"/>
  <c r="X33" i="1"/>
  <c r="X35" i="1"/>
  <c r="X37" i="1"/>
  <c r="X39" i="1"/>
  <c r="X41" i="1"/>
  <c r="X43" i="1"/>
  <c r="X45" i="1"/>
  <c r="X47" i="1"/>
  <c r="X49" i="1"/>
  <c r="X51" i="1"/>
  <c r="X53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1" i="1"/>
  <c r="R1" i="1"/>
  <c r="R19" i="1"/>
  <c r="J9" i="1" l="1"/>
  <c r="D6" i="4" s="1"/>
  <c r="R25" i="1"/>
  <c r="R31" i="1"/>
  <c r="R46" i="1"/>
  <c r="R37" i="1"/>
  <c r="R11" i="1"/>
  <c r="R29" i="1"/>
  <c r="R8" i="1"/>
  <c r="R22" i="1"/>
  <c r="R14" i="1"/>
  <c r="R10" i="1"/>
  <c r="R44" i="1"/>
  <c r="R32" i="1"/>
  <c r="R4" i="1"/>
  <c r="R20" i="1"/>
  <c r="R3" i="1"/>
  <c r="R42" i="1"/>
  <c r="R15" i="1"/>
  <c r="R49" i="1"/>
  <c r="R33" i="1"/>
  <c r="R27" i="1"/>
  <c r="R45" i="1"/>
  <c r="R26" i="1"/>
  <c r="R40" i="1"/>
  <c r="R41" i="1"/>
  <c r="R36" i="1"/>
  <c r="R6" i="1"/>
  <c r="R18" i="1"/>
  <c r="R13" i="1"/>
  <c r="R28" i="1"/>
  <c r="R16" i="1"/>
  <c r="R52" i="1"/>
  <c r="R12" i="1"/>
  <c r="R35" i="1"/>
  <c r="R51" i="1"/>
  <c r="R9" i="1"/>
  <c r="R50" i="1"/>
  <c r="R53" i="1"/>
  <c r="R38" i="1"/>
  <c r="R5" i="1"/>
  <c r="R17" i="1"/>
  <c r="R34" i="1"/>
  <c r="R23" i="1"/>
  <c r="R21" i="1"/>
  <c r="R30" i="1"/>
  <c r="R43" i="1"/>
  <c r="R24" i="1"/>
  <c r="R48" i="1"/>
  <c r="R7" i="1"/>
  <c r="R39" i="1"/>
  <c r="R2" i="1"/>
  <c r="R47" i="1"/>
  <c r="V7" i="1" l="1"/>
  <c r="U7" i="1" s="1"/>
  <c r="Y7" i="1" s="1"/>
  <c r="V11" i="1"/>
  <c r="U11" i="1" s="1"/>
  <c r="W11" i="1" s="1"/>
  <c r="V27" i="1"/>
  <c r="U27" i="1" s="1"/>
  <c r="Y27" i="1" s="1"/>
  <c r="V43" i="1"/>
  <c r="U43" i="1" s="1"/>
  <c r="W43" i="1" s="1"/>
  <c r="V22" i="1"/>
  <c r="U22" i="1" s="1"/>
  <c r="Y22" i="1" s="1"/>
  <c r="V8" i="1"/>
  <c r="U8" i="1" s="1"/>
  <c r="Y8" i="1" s="1"/>
  <c r="V24" i="1"/>
  <c r="U24" i="1" s="1"/>
  <c r="Y24" i="1" s="1"/>
  <c r="V40" i="1"/>
  <c r="U40" i="1" s="1"/>
  <c r="X40" i="1" s="1"/>
  <c r="V6" i="1"/>
  <c r="U6" i="1" s="1"/>
  <c r="Y6" i="1" s="1"/>
  <c r="V5" i="1"/>
  <c r="U5" i="1" s="1"/>
  <c r="Y5" i="1" s="1"/>
  <c r="V21" i="1"/>
  <c r="U21" i="1" s="1"/>
  <c r="Y21" i="1" s="1"/>
  <c r="V37" i="1"/>
  <c r="U37" i="1" s="1"/>
  <c r="W37" i="1" s="1"/>
  <c r="V53" i="1"/>
  <c r="U53" i="1" s="1"/>
  <c r="W53" i="1" s="1"/>
  <c r="V50" i="1"/>
  <c r="U50" i="1" s="1"/>
  <c r="X50" i="1" s="1"/>
  <c r="V15" i="1"/>
  <c r="U15" i="1" s="1"/>
  <c r="Y15" i="1" s="1"/>
  <c r="V31" i="1"/>
  <c r="U31" i="1" s="1"/>
  <c r="W31" i="1" s="1"/>
  <c r="V34" i="1"/>
  <c r="U34" i="1" s="1"/>
  <c r="Y34" i="1" s="1"/>
  <c r="V12" i="1"/>
  <c r="U12" i="1" s="1"/>
  <c r="Y12" i="1" s="1"/>
  <c r="V28" i="1"/>
  <c r="U28" i="1" s="1"/>
  <c r="Y28" i="1" s="1"/>
  <c r="V44" i="1"/>
  <c r="U44" i="1" s="1"/>
  <c r="X44" i="1" s="1"/>
  <c r="V9" i="1"/>
  <c r="U9" i="1" s="1"/>
  <c r="W9" i="1" s="1"/>
  <c r="V25" i="1"/>
  <c r="U25" i="1" s="1"/>
  <c r="W25" i="1" s="1"/>
  <c r="V10" i="1"/>
  <c r="U10" i="1" s="1"/>
  <c r="Y10" i="1" s="1"/>
  <c r="V2" i="1"/>
  <c r="V39" i="1"/>
  <c r="U39" i="1" s="1"/>
  <c r="W39" i="1" s="1"/>
  <c r="V4" i="1"/>
  <c r="U4" i="1" s="1"/>
  <c r="Y4" i="1" s="1"/>
  <c r="V36" i="1"/>
  <c r="U36" i="1" s="1"/>
  <c r="Y36" i="1" s="1"/>
  <c r="V42" i="1"/>
  <c r="U42" i="1" s="1"/>
  <c r="X42" i="1" s="1"/>
  <c r="V33" i="1"/>
  <c r="U33" i="1" s="1"/>
  <c r="W33" i="1" s="1"/>
  <c r="V38" i="1"/>
  <c r="U38" i="1" s="1"/>
  <c r="X38" i="1" s="1"/>
  <c r="V47" i="1"/>
  <c r="U47" i="1" s="1"/>
  <c r="W47" i="1" s="1"/>
  <c r="V18" i="1"/>
  <c r="U18" i="1" s="1"/>
  <c r="X18" i="1" s="1"/>
  <c r="V41" i="1"/>
  <c r="U41" i="1" s="1"/>
  <c r="W41" i="1" s="1"/>
  <c r="V23" i="1"/>
  <c r="U23" i="1" s="1"/>
  <c r="Y23" i="1" s="1"/>
  <c r="V14" i="1"/>
  <c r="U14" i="1" s="1"/>
  <c r="X14" i="1" s="1"/>
  <c r="V20" i="1"/>
  <c r="U20" i="1" s="1"/>
  <c r="X20" i="1" s="1"/>
  <c r="V52" i="1"/>
  <c r="U52" i="1" s="1"/>
  <c r="X52" i="1" s="1"/>
  <c r="V17" i="1"/>
  <c r="U17" i="1" s="1"/>
  <c r="Y17" i="1" s="1"/>
  <c r="V49" i="1"/>
  <c r="U49" i="1" s="1"/>
  <c r="W49" i="1" s="1"/>
  <c r="V3" i="1"/>
  <c r="U3" i="1" s="1"/>
  <c r="W3" i="1" s="1"/>
  <c r="V19" i="1"/>
  <c r="U19" i="1" s="1"/>
  <c r="W19" i="1" s="1"/>
  <c r="V35" i="1"/>
  <c r="U35" i="1" s="1"/>
  <c r="W35" i="1" s="1"/>
  <c r="V51" i="1"/>
  <c r="U51" i="1" s="1"/>
  <c r="W51" i="1" s="1"/>
  <c r="V46" i="1"/>
  <c r="U46" i="1" s="1"/>
  <c r="X46" i="1" s="1"/>
  <c r="V16" i="1"/>
  <c r="U16" i="1" s="1"/>
  <c r="Y16" i="1" s="1"/>
  <c r="V32" i="1"/>
  <c r="U32" i="1" s="1"/>
  <c r="X32" i="1" s="1"/>
  <c r="V48" i="1"/>
  <c r="U48" i="1" s="1"/>
  <c r="X48" i="1" s="1"/>
  <c r="V30" i="1"/>
  <c r="U30" i="1" s="1"/>
  <c r="X30" i="1" s="1"/>
  <c r="V13" i="1"/>
  <c r="U13" i="1" s="1"/>
  <c r="W13" i="1" s="1"/>
  <c r="V29" i="1"/>
  <c r="U29" i="1" s="1"/>
  <c r="W29" i="1" s="1"/>
  <c r="V45" i="1"/>
  <c r="U45" i="1" s="1"/>
  <c r="W45" i="1" s="1"/>
  <c r="V26" i="1"/>
  <c r="U26" i="1" s="1"/>
  <c r="X26" i="1" s="1"/>
  <c r="P41" i="1"/>
  <c r="X34" i="1" l="1"/>
  <c r="Y53" i="1"/>
  <c r="W7" i="1"/>
  <c r="X6" i="1"/>
  <c r="X22" i="1"/>
  <c r="Y39" i="1"/>
  <c r="Y33" i="1"/>
  <c r="Y19" i="1"/>
  <c r="Y52" i="1"/>
  <c r="Y9" i="1"/>
  <c r="Y41" i="1"/>
  <c r="W27" i="1"/>
  <c r="X16" i="1"/>
  <c r="Y35" i="1"/>
  <c r="Y25" i="1"/>
  <c r="X12" i="1"/>
  <c r="Y11" i="1"/>
  <c r="W5" i="1"/>
  <c r="X8" i="1"/>
  <c r="X4" i="1"/>
  <c r="Y50" i="1"/>
  <c r="Y40" i="1"/>
  <c r="Y13" i="1"/>
  <c r="W15" i="1"/>
  <c r="W21" i="1"/>
  <c r="X10" i="1"/>
  <c r="Y49" i="1"/>
  <c r="X24" i="1"/>
  <c r="X28" i="1"/>
  <c r="X36" i="1"/>
  <c r="Y32" i="1"/>
  <c r="W17" i="1"/>
  <c r="W23" i="1"/>
  <c r="Y38" i="1"/>
  <c r="Y30" i="1"/>
  <c r="Y29" i="1"/>
  <c r="Z50" i="1"/>
  <c r="Y44" i="1"/>
  <c r="Y31" i="1"/>
  <c r="Y26" i="1"/>
  <c r="U2" i="1"/>
  <c r="Y2" i="1" s="1"/>
  <c r="Y18" i="1"/>
  <c r="Y42" i="1"/>
  <c r="Z4" i="1"/>
  <c r="Y14" i="1"/>
  <c r="Y51" i="1"/>
  <c r="Y48" i="1"/>
  <c r="Y45" i="1"/>
  <c r="Y47" i="1"/>
  <c r="Z49" i="1"/>
  <c r="Z52" i="1"/>
  <c r="Z3" i="1"/>
  <c r="Z34" i="1"/>
  <c r="Z33" i="1"/>
  <c r="Z36" i="1"/>
  <c r="Y3" i="1"/>
  <c r="Y37" i="1"/>
  <c r="Y43" i="1"/>
  <c r="Y20" i="1"/>
  <c r="Y46" i="1"/>
  <c r="Z39" i="1"/>
  <c r="Z18" i="1"/>
  <c r="Z17" i="1"/>
  <c r="Z20" i="1"/>
  <c r="Z15" i="1"/>
  <c r="Z47" i="1"/>
  <c r="Z43" i="1"/>
  <c r="Z2" i="1"/>
  <c r="D26" i="4" s="1"/>
  <c r="Z27" i="1"/>
  <c r="Z46" i="1"/>
  <c r="Z30" i="1"/>
  <c r="Z14" i="1"/>
  <c r="Z35" i="1"/>
  <c r="Z45" i="1"/>
  <c r="Z29" i="1"/>
  <c r="Z13" i="1"/>
  <c r="Z31" i="1"/>
  <c r="Z48" i="1"/>
  <c r="Z32" i="1"/>
  <c r="Z16" i="1"/>
  <c r="Z42" i="1"/>
  <c r="Z26" i="1"/>
  <c r="Z10" i="1"/>
  <c r="Z19" i="1"/>
  <c r="Z41" i="1"/>
  <c r="Z25" i="1"/>
  <c r="Z9" i="1"/>
  <c r="Z23" i="1"/>
  <c r="Z44" i="1"/>
  <c r="Z28" i="1"/>
  <c r="Z12" i="1"/>
  <c r="Z51" i="1"/>
  <c r="Z7" i="1"/>
  <c r="Z38" i="1"/>
  <c r="Z22" i="1"/>
  <c r="Z6" i="1"/>
  <c r="Z53" i="1"/>
  <c r="Z37" i="1"/>
  <c r="Z21" i="1"/>
  <c r="Z5" i="1"/>
  <c r="Z11" i="1"/>
  <c r="Z40" i="1"/>
  <c r="Z24" i="1"/>
  <c r="Z8" i="1"/>
  <c r="J4" i="1"/>
  <c r="F4" i="1"/>
  <c r="G4" i="1"/>
  <c r="H4" i="1"/>
  <c r="F5" i="1"/>
  <c r="G5" i="1"/>
  <c r="H5" i="1"/>
  <c r="F6" i="1"/>
  <c r="G6" i="1"/>
  <c r="H6" i="1"/>
  <c r="F7" i="1"/>
  <c r="G7" i="1"/>
  <c r="H7" i="1"/>
  <c r="F8" i="1"/>
  <c r="G8" i="1"/>
  <c r="H8" i="1"/>
  <c r="F9" i="1"/>
  <c r="G9" i="1"/>
  <c r="H9" i="1"/>
  <c r="F10" i="1"/>
  <c r="G10" i="1"/>
  <c r="H10" i="1"/>
  <c r="F11" i="1"/>
  <c r="G11" i="1"/>
  <c r="H11" i="1"/>
  <c r="F12" i="1"/>
  <c r="G12" i="1"/>
  <c r="H12" i="1"/>
  <c r="F13" i="1"/>
  <c r="G13" i="1"/>
  <c r="H13" i="1"/>
  <c r="F14" i="1"/>
  <c r="G14" i="1"/>
  <c r="H14" i="1"/>
  <c r="F15" i="1"/>
  <c r="G15" i="1"/>
  <c r="H15" i="1"/>
  <c r="F16" i="1"/>
  <c r="G16" i="1"/>
  <c r="H16" i="1"/>
  <c r="F17" i="1"/>
  <c r="G17" i="1"/>
  <c r="H17" i="1"/>
  <c r="F18" i="1"/>
  <c r="G18" i="1"/>
  <c r="H18" i="1"/>
  <c r="F19" i="1"/>
  <c r="G19" i="1"/>
  <c r="H19" i="1"/>
  <c r="F20" i="1"/>
  <c r="G20" i="1"/>
  <c r="H20" i="1"/>
  <c r="F21" i="1"/>
  <c r="G21" i="1"/>
  <c r="H21" i="1"/>
  <c r="F22" i="1"/>
  <c r="G22" i="1"/>
  <c r="H22" i="1"/>
  <c r="F23" i="1"/>
  <c r="G23" i="1"/>
  <c r="H23" i="1"/>
  <c r="F24" i="1"/>
  <c r="G24" i="1"/>
  <c r="H24" i="1"/>
  <c r="F25" i="1"/>
  <c r="G25" i="1"/>
  <c r="H25" i="1"/>
  <c r="F26" i="1"/>
  <c r="G26" i="1"/>
  <c r="H26" i="1"/>
  <c r="F27" i="1"/>
  <c r="G27" i="1"/>
  <c r="H27" i="1"/>
  <c r="F28" i="1"/>
  <c r="G28" i="1"/>
  <c r="H28" i="1"/>
  <c r="F29" i="1"/>
  <c r="G29" i="1"/>
  <c r="H29" i="1"/>
  <c r="F30" i="1"/>
  <c r="G30" i="1"/>
  <c r="H30" i="1"/>
  <c r="F31" i="1"/>
  <c r="G31" i="1"/>
  <c r="H31" i="1"/>
  <c r="F32" i="1"/>
  <c r="G32" i="1"/>
  <c r="H32" i="1"/>
  <c r="F33" i="1"/>
  <c r="G33" i="1"/>
  <c r="H33" i="1"/>
  <c r="F34" i="1"/>
  <c r="G34" i="1"/>
  <c r="H34" i="1"/>
  <c r="F35" i="1"/>
  <c r="G35" i="1"/>
  <c r="H35" i="1"/>
  <c r="F36" i="1"/>
  <c r="G36" i="1"/>
  <c r="H36" i="1"/>
  <c r="F37" i="1"/>
  <c r="G37" i="1"/>
  <c r="H37" i="1"/>
  <c r="F38" i="1"/>
  <c r="G38" i="1"/>
  <c r="H38" i="1"/>
  <c r="F39" i="1"/>
  <c r="G39" i="1"/>
  <c r="H39" i="1"/>
  <c r="F40" i="1"/>
  <c r="G40" i="1"/>
  <c r="H40" i="1"/>
  <c r="F41" i="1"/>
  <c r="G41" i="1"/>
  <c r="H41" i="1"/>
  <c r="F42" i="1"/>
  <c r="G42" i="1"/>
  <c r="H42" i="1"/>
  <c r="F43" i="1"/>
  <c r="G43" i="1"/>
  <c r="H43" i="1"/>
  <c r="F44" i="1"/>
  <c r="G44" i="1"/>
  <c r="H44" i="1"/>
  <c r="F45" i="1"/>
  <c r="G45" i="1"/>
  <c r="H45" i="1"/>
  <c r="F46" i="1"/>
  <c r="G46" i="1"/>
  <c r="H46" i="1"/>
  <c r="F47" i="1"/>
  <c r="G47" i="1"/>
  <c r="H47" i="1"/>
  <c r="F48" i="1"/>
  <c r="G48" i="1"/>
  <c r="H48" i="1"/>
  <c r="F49" i="1"/>
  <c r="G49" i="1"/>
  <c r="H49" i="1"/>
  <c r="F50" i="1"/>
  <c r="G50" i="1"/>
  <c r="H50" i="1"/>
  <c r="F51" i="1"/>
  <c r="G51" i="1"/>
  <c r="H51" i="1"/>
  <c r="F52" i="1"/>
  <c r="G52" i="1"/>
  <c r="H52" i="1"/>
  <c r="F53" i="1"/>
  <c r="G53" i="1"/>
  <c r="H53" i="1"/>
  <c r="G3" i="1"/>
  <c r="H3" i="1"/>
  <c r="F3" i="1"/>
  <c r="G2" i="1"/>
  <c r="H2" i="1"/>
  <c r="F2" i="1"/>
  <c r="D157" i="2"/>
  <c r="C157" i="2"/>
  <c r="D156" i="2"/>
  <c r="C156" i="2"/>
  <c r="D155" i="2"/>
  <c r="C155" i="2"/>
  <c r="D154" i="2"/>
  <c r="C154" i="2"/>
  <c r="D153" i="2"/>
  <c r="C153" i="2"/>
  <c r="D152" i="2"/>
  <c r="C152" i="2"/>
  <c r="D151" i="2"/>
  <c r="C151" i="2"/>
  <c r="D150" i="2"/>
  <c r="C150" i="2"/>
  <c r="D149" i="2"/>
  <c r="C149" i="2"/>
  <c r="D148" i="2"/>
  <c r="C148" i="2"/>
  <c r="C147" i="2"/>
  <c r="D146" i="2"/>
  <c r="C146" i="2"/>
  <c r="D145" i="2"/>
  <c r="C145" i="2"/>
  <c r="D144" i="2"/>
  <c r="C144" i="2"/>
  <c r="D143" i="2"/>
  <c r="C143" i="2"/>
  <c r="D142" i="2"/>
  <c r="C142" i="2"/>
  <c r="D141" i="2"/>
  <c r="C141" i="2"/>
  <c r="D140" i="2"/>
  <c r="C140" i="2"/>
  <c r="D139" i="2"/>
  <c r="C139" i="2"/>
  <c r="D138" i="2"/>
  <c r="C138" i="2"/>
  <c r="D137" i="2"/>
  <c r="C137" i="2"/>
  <c r="D136" i="2"/>
  <c r="C136" i="2"/>
  <c r="D135" i="2"/>
  <c r="C135" i="2"/>
  <c r="D134" i="2"/>
  <c r="C134" i="2"/>
  <c r="D133" i="2"/>
  <c r="C133" i="2"/>
  <c r="D132" i="2"/>
  <c r="C132" i="2"/>
  <c r="D131" i="2"/>
  <c r="C131" i="2"/>
  <c r="D130" i="2"/>
  <c r="C130" i="2"/>
  <c r="D129" i="2"/>
  <c r="C129" i="2"/>
  <c r="D128" i="2"/>
  <c r="C128" i="2"/>
  <c r="D127" i="2"/>
  <c r="C127" i="2"/>
  <c r="D126" i="2"/>
  <c r="C126" i="2"/>
  <c r="D125" i="2"/>
  <c r="C125" i="2"/>
  <c r="D124" i="2"/>
  <c r="C124" i="2"/>
  <c r="D123" i="2"/>
  <c r="C123" i="2"/>
  <c r="D122" i="2"/>
  <c r="C122" i="2"/>
  <c r="D121" i="2"/>
  <c r="C121" i="2"/>
  <c r="D120" i="2"/>
  <c r="C120" i="2"/>
  <c r="D119" i="2"/>
  <c r="C119" i="2"/>
  <c r="D118" i="2"/>
  <c r="C118" i="2"/>
  <c r="D117" i="2"/>
  <c r="C117" i="2"/>
  <c r="D116" i="2"/>
  <c r="C116" i="2"/>
  <c r="D115" i="2"/>
  <c r="C115" i="2"/>
  <c r="D114" i="2"/>
  <c r="C114" i="2"/>
  <c r="D113" i="2"/>
  <c r="C113" i="2"/>
  <c r="D112" i="2"/>
  <c r="C112" i="2"/>
  <c r="D111" i="2"/>
  <c r="C111" i="2"/>
  <c r="D110" i="2"/>
  <c r="C110" i="2"/>
  <c r="D109" i="2"/>
  <c r="C109" i="2"/>
  <c r="D108" i="2"/>
  <c r="C108" i="2"/>
  <c r="D107" i="2"/>
  <c r="C107" i="2"/>
  <c r="D106" i="2"/>
  <c r="C106" i="2"/>
  <c r="D105" i="2"/>
  <c r="C105" i="2"/>
  <c r="D104" i="2"/>
  <c r="C104" i="2"/>
  <c r="D103" i="2"/>
  <c r="C103" i="2"/>
  <c r="D102" i="2"/>
  <c r="C102" i="2"/>
  <c r="D101" i="2"/>
  <c r="C101" i="2"/>
  <c r="D100" i="2"/>
  <c r="C100" i="2"/>
  <c r="D99" i="2"/>
  <c r="C99" i="2"/>
  <c r="D98" i="2"/>
  <c r="C98" i="2"/>
  <c r="D97" i="2"/>
  <c r="C97" i="2"/>
  <c r="D96" i="2"/>
  <c r="C96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6" i="2"/>
  <c r="C86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8" i="2"/>
  <c r="C58" i="2"/>
  <c r="D57" i="2"/>
  <c r="C57" i="2"/>
  <c r="D56" i="2"/>
  <c r="C56" i="2"/>
  <c r="D55" i="2"/>
  <c r="C55" i="2"/>
  <c r="D54" i="2"/>
  <c r="C54" i="2"/>
  <c r="D53" i="2"/>
  <c r="C53" i="2"/>
  <c r="D52" i="2"/>
  <c r="C5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  <c r="E3" i="4"/>
  <c r="D3" i="4"/>
  <c r="C3" i="4"/>
  <c r="X2" i="1" l="1"/>
  <c r="N47" i="1"/>
  <c r="N39" i="1"/>
  <c r="N31" i="1"/>
  <c r="N23" i="1"/>
  <c r="N15" i="1"/>
  <c r="N52" i="1"/>
  <c r="N44" i="1"/>
  <c r="N40" i="1"/>
  <c r="N36" i="1"/>
  <c r="N32" i="1"/>
  <c r="N28" i="1"/>
  <c r="N24" i="1"/>
  <c r="N20" i="1"/>
  <c r="N16" i="1"/>
  <c r="N12" i="1"/>
  <c r="N8" i="1"/>
  <c r="N4" i="1"/>
  <c r="N3" i="1"/>
  <c r="N43" i="1"/>
  <c r="N35" i="1"/>
  <c r="N27" i="1"/>
  <c r="N19" i="1"/>
  <c r="N7" i="1"/>
  <c r="N48" i="1"/>
  <c r="N51" i="1"/>
  <c r="N11" i="1"/>
  <c r="N53" i="1"/>
  <c r="N49" i="1"/>
  <c r="N45" i="1"/>
  <c r="N41" i="1"/>
  <c r="N37" i="1"/>
  <c r="N33" i="1"/>
  <c r="N29" i="1"/>
  <c r="N25" i="1"/>
  <c r="N21" i="1"/>
  <c r="N17" i="1"/>
  <c r="N13" i="1"/>
  <c r="N9" i="1"/>
  <c r="N5" i="1"/>
  <c r="N50" i="1"/>
  <c r="N46" i="1"/>
  <c r="N42" i="1"/>
  <c r="N38" i="1"/>
  <c r="N34" i="1"/>
  <c r="N30" i="1"/>
  <c r="N26" i="1"/>
  <c r="N22" i="1"/>
  <c r="N18" i="1"/>
  <c r="N14" i="1"/>
  <c r="N10" i="1"/>
  <c r="N6" i="1"/>
  <c r="N2" i="1"/>
  <c r="J11" i="1" l="1"/>
  <c r="J12" i="1" s="1"/>
  <c r="P50" i="1" s="1"/>
  <c r="P24" i="1"/>
  <c r="P9" i="1"/>
  <c r="P31" i="1"/>
  <c r="P48" i="1"/>
  <c r="P8" i="1"/>
  <c r="P22" i="1"/>
  <c r="P42" i="1"/>
  <c r="I4" i="1"/>
  <c r="I3" i="1"/>
  <c r="P36" i="1" l="1"/>
  <c r="P37" i="1"/>
  <c r="P40" i="1"/>
  <c r="P23" i="1"/>
  <c r="P34" i="1"/>
  <c r="P52" i="1"/>
  <c r="P25" i="1"/>
  <c r="P17" i="1"/>
  <c r="P39" i="1"/>
  <c r="P32" i="1"/>
  <c r="P15" i="1"/>
  <c r="P16" i="1"/>
  <c r="P19" i="1"/>
  <c r="P51" i="1"/>
  <c r="P49" i="1"/>
  <c r="P47" i="1"/>
  <c r="P45" i="1"/>
  <c r="P35" i="1"/>
  <c r="P43" i="1"/>
  <c r="P12" i="1"/>
  <c r="P11" i="1"/>
  <c r="P53" i="1"/>
  <c r="P5" i="1"/>
  <c r="P29" i="1"/>
  <c r="P44" i="1"/>
  <c r="P28" i="1"/>
  <c r="P14" i="1"/>
  <c r="P13" i="1"/>
  <c r="P21" i="1"/>
  <c r="P26" i="1"/>
  <c r="P2" i="1"/>
  <c r="P20" i="1"/>
  <c r="P38" i="1"/>
  <c r="P27" i="1"/>
  <c r="P18" i="1"/>
  <c r="P6" i="1"/>
  <c r="P46" i="1"/>
  <c r="P30" i="1"/>
  <c r="P7" i="1"/>
  <c r="P33" i="1"/>
  <c r="P4" i="1"/>
  <c r="P3" i="1"/>
  <c r="P10" i="1"/>
  <c r="D147" i="2"/>
  <c r="D95" i="2"/>
  <c r="D43" i="2"/>
  <c r="O3" i="1"/>
  <c r="O7" i="1"/>
  <c r="O11" i="1"/>
  <c r="O15" i="1"/>
  <c r="O19" i="1"/>
  <c r="O23" i="1"/>
  <c r="O27" i="1"/>
  <c r="O31" i="1"/>
  <c r="O35" i="1"/>
  <c r="O39" i="1"/>
  <c r="O43" i="1"/>
  <c r="O47" i="1"/>
  <c r="O51" i="1"/>
  <c r="O6" i="1"/>
  <c r="O22" i="1"/>
  <c r="O30" i="1"/>
  <c r="O38" i="1"/>
  <c r="O46" i="1"/>
  <c r="O4" i="1"/>
  <c r="O8" i="1"/>
  <c r="O12" i="1"/>
  <c r="O16" i="1"/>
  <c r="O20" i="1"/>
  <c r="O24" i="1"/>
  <c r="O28" i="1"/>
  <c r="O32" i="1"/>
  <c r="O36" i="1"/>
  <c r="O40" i="1"/>
  <c r="O44" i="1"/>
  <c r="O48" i="1"/>
  <c r="O52" i="1"/>
  <c r="O10" i="1"/>
  <c r="O18" i="1"/>
  <c r="O26" i="1"/>
  <c r="O34" i="1"/>
  <c r="O42" i="1"/>
  <c r="O2" i="1"/>
  <c r="O5" i="1"/>
  <c r="O9" i="1"/>
  <c r="O13" i="1"/>
  <c r="O17" i="1"/>
  <c r="O21" i="1"/>
  <c r="O25" i="1"/>
  <c r="O29" i="1"/>
  <c r="O33" i="1"/>
  <c r="O37" i="1"/>
  <c r="O41" i="1"/>
  <c r="O45" i="1"/>
  <c r="O49" i="1"/>
  <c r="O53" i="1"/>
  <c r="O14" i="1"/>
  <c r="O5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查询来自 Excel Files" type="1" refreshedVersion="6" background="1" saveData="1">
    <dbPr connection="DSN=Excel Files;DBQ=D:\踩踩踩\经济学人地图.xlsm;DefaultDir=D:\踩踩踩;DriverId=1046;MaxBufferSize=2048;PageTimeout=5;" command="SELECT `data$`.date, `data$`.`from/to`, `data$`.Coda, `data$`.`name-cn`, `data$`.Alabama, `data$`.Alaska, `data$`.Arizona, `data$`.Arkansas, `data$`.California, `data$`.Colorado, `data$`.Connecticut, `data$`.Delaware, `data$`.`District of Columbia `, `data$`.Florida, `data$`.Georgia, `data$`.Hawaii, `data$`.Idaho, `data$`.Illinois, `data$`.Indiana, `data$`.Iowa, `data$`.Kansas, `data$`.Kentucky, `data$`.Louisiana, `data$`.Maine, `data$`.Maryland, `data$`.Massachusetts, `data$`.Michigan, `data$`.Minnesota, `data$`.Mississippi, `data$`.Missouri, `data$`.Montana, `data$`.Nebraska, `data$`.Nevada, `data$`.`New Hampshire`, `data$`.`New Jersey`, `data$`.`New Mexico`, `data$`.`New York`, `data$`.`North Carolina`, `data$`.`North Dakota`, `data$`.Ohio, `data$`.Oklahoma, `data$`.Oregon, `data$`.Pennsylvania, `data$`.`Rhode Island`, `data$`.`South Carolina`, `data$`.`South Dakota`, `data$`.Tennessee, `data$`.Texas, `data$`.Utah, `data$`.Vermont, `data$`.Virginia, `data$`.Washington, `data$`.`West Virginia`, `data$`.Wisconsin, `data$`.Wyoming, `data$`.`Puerto Rico`_x000d__x000a_FROM `data$` `data$`_x000d__x000a_WHERE (`data$`.date=?)"/>
    <parameters count="1">
      <parameter name="参数1" sqlType="8" parameterType="cell" refreshOnChange="1" cell="data1!$B$2"/>
    </parameters>
  </connection>
</connections>
</file>

<file path=xl/sharedStrings.xml><?xml version="1.0" encoding="utf-8"?>
<sst xmlns="http://schemas.openxmlformats.org/spreadsheetml/2006/main" count="619" uniqueCount="205">
  <si>
    <t>State</t>
    <phoneticPr fontId="1" type="noConversion"/>
  </si>
  <si>
    <t>Code</t>
  </si>
  <si>
    <t>Alabama</t>
  </si>
  <si>
    <t>AL</t>
  </si>
  <si>
    <t>Alaska</t>
  </si>
  <si>
    <t>AK</t>
  </si>
  <si>
    <t>Arizona</t>
  </si>
  <si>
    <t>AZ</t>
  </si>
  <si>
    <t>Arkansas</t>
  </si>
  <si>
    <t>AR</t>
  </si>
  <si>
    <t>California</t>
  </si>
  <si>
    <t>CA</t>
  </si>
  <si>
    <t>Colorado</t>
  </si>
  <si>
    <t>CO</t>
  </si>
  <si>
    <t>Connecticut</t>
  </si>
  <si>
    <t>CT</t>
  </si>
  <si>
    <t>Delaware</t>
  </si>
  <si>
    <t>DE</t>
  </si>
  <si>
    <t xml:space="preserve">District of Columbia </t>
  </si>
  <si>
    <t>DC</t>
  </si>
  <si>
    <t>Florida</t>
  </si>
  <si>
    <t>FL</t>
  </si>
  <si>
    <t>Georgia</t>
  </si>
  <si>
    <t>GA</t>
  </si>
  <si>
    <t>Hawaii</t>
  </si>
  <si>
    <t>HI</t>
  </si>
  <si>
    <t>Idaho</t>
  </si>
  <si>
    <t>ID</t>
  </si>
  <si>
    <t>Illinois</t>
  </si>
  <si>
    <t>IL</t>
  </si>
  <si>
    <t>Indiana</t>
  </si>
  <si>
    <t>IN</t>
  </si>
  <si>
    <t>Iowa</t>
  </si>
  <si>
    <t>IA</t>
  </si>
  <si>
    <t>Kansas</t>
  </si>
  <si>
    <t>KS</t>
  </si>
  <si>
    <t>Kentucky</t>
  </si>
  <si>
    <t>KY</t>
  </si>
  <si>
    <t>Louisiana</t>
  </si>
  <si>
    <t>LA</t>
  </si>
  <si>
    <t>Maine</t>
  </si>
  <si>
    <t>ME</t>
  </si>
  <si>
    <t>Maryland</t>
  </si>
  <si>
    <t>MD</t>
  </si>
  <si>
    <t>Massachusetts</t>
  </si>
  <si>
    <t>MA</t>
  </si>
  <si>
    <t>Michigan</t>
  </si>
  <si>
    <t>MI</t>
  </si>
  <si>
    <t>Minnesota</t>
  </si>
  <si>
    <t>MN</t>
  </si>
  <si>
    <t>Mississippi</t>
  </si>
  <si>
    <t>MS</t>
  </si>
  <si>
    <t>Missouri</t>
  </si>
  <si>
    <t>MO</t>
  </si>
  <si>
    <t>Montana</t>
  </si>
  <si>
    <t>MT</t>
  </si>
  <si>
    <t>Nebraska</t>
  </si>
  <si>
    <t>NE</t>
  </si>
  <si>
    <t>Nevada</t>
  </si>
  <si>
    <t>NV</t>
  </si>
  <si>
    <t>New Hampshire</t>
  </si>
  <si>
    <t>NH</t>
  </si>
  <si>
    <t>New Jersey</t>
  </si>
  <si>
    <t>NJ</t>
  </si>
  <si>
    <t>New Mexico</t>
  </si>
  <si>
    <t>NM</t>
  </si>
  <si>
    <t>New York</t>
  </si>
  <si>
    <t>NY</t>
  </si>
  <si>
    <t>North Carolina</t>
  </si>
  <si>
    <t>NC</t>
  </si>
  <si>
    <t>North Dakota</t>
  </si>
  <si>
    <t>ND</t>
  </si>
  <si>
    <t>Ohio</t>
  </si>
  <si>
    <t>OH</t>
  </si>
  <si>
    <t>Oklahoma</t>
  </si>
  <si>
    <t>OK</t>
  </si>
  <si>
    <t>Oregon</t>
  </si>
  <si>
    <t>OR</t>
  </si>
  <si>
    <t>Pennsylvania</t>
  </si>
  <si>
    <t>PA</t>
  </si>
  <si>
    <t>Puerto Rico</t>
  </si>
  <si>
    <t>PR</t>
  </si>
  <si>
    <t>Rhode Island</t>
  </si>
  <si>
    <t>RI</t>
  </si>
  <si>
    <t>South Carolina</t>
  </si>
  <si>
    <t>SC</t>
  </si>
  <si>
    <t>South Dakota</t>
  </si>
  <si>
    <t>SD</t>
  </si>
  <si>
    <t>Tennessee</t>
  </si>
  <si>
    <t>TN</t>
  </si>
  <si>
    <t>Texas</t>
  </si>
  <si>
    <t>TX</t>
  </si>
  <si>
    <t>Utah</t>
  </si>
  <si>
    <t>UT</t>
  </si>
  <si>
    <t>Vermont</t>
  </si>
  <si>
    <t>VT</t>
  </si>
  <si>
    <t>Virginia</t>
  </si>
  <si>
    <t>VA</t>
  </si>
  <si>
    <t>Washington</t>
  </si>
  <si>
    <t>WA</t>
  </si>
  <si>
    <t>West Virginia</t>
  </si>
  <si>
    <t>WV</t>
  </si>
  <si>
    <t>Wisconsin</t>
  </si>
  <si>
    <t>WI</t>
  </si>
  <si>
    <t>Wyoming</t>
  </si>
  <si>
    <t>WY</t>
  </si>
  <si>
    <t>name-cn</t>
  </si>
  <si>
    <t>name-cn</t>
    <phoneticPr fontId="1" type="noConversion"/>
  </si>
  <si>
    <t>date</t>
    <phoneticPr fontId="1" type="noConversion"/>
  </si>
  <si>
    <t>from/to</t>
  </si>
  <si>
    <t>Coda</t>
    <phoneticPr fontId="1" type="noConversion"/>
  </si>
  <si>
    <t>name-cn</t>
    <phoneticPr fontId="1" type="noConversion"/>
  </si>
  <si>
    <t>date</t>
  </si>
  <si>
    <t>Coda</t>
  </si>
  <si>
    <t>日期</t>
    <phoneticPr fontId="1" type="noConversion"/>
  </si>
  <si>
    <t>阿拉巴马州</t>
  </si>
  <si>
    <t>阿拉斯加</t>
  </si>
  <si>
    <t>亚利桑那州</t>
  </si>
  <si>
    <t>阿肯色州</t>
  </si>
  <si>
    <t>加州</t>
  </si>
  <si>
    <t>科罗拉多州</t>
  </si>
  <si>
    <t>康涅狄格</t>
  </si>
  <si>
    <t>特拉华州</t>
  </si>
  <si>
    <t>哥伦比亚特区</t>
  </si>
  <si>
    <t>佛罗里达</t>
  </si>
  <si>
    <t>乔治亚州</t>
  </si>
  <si>
    <t>夏威夷</t>
  </si>
  <si>
    <t>爱达荷州</t>
  </si>
  <si>
    <t>伊利诺斯州</t>
  </si>
  <si>
    <t>印第安纳州</t>
  </si>
  <si>
    <t>爱荷华州</t>
  </si>
  <si>
    <t>堪萨斯</t>
  </si>
  <si>
    <t>肯塔基州</t>
  </si>
  <si>
    <t>路易斯安那州</t>
  </si>
  <si>
    <t>缅因州</t>
  </si>
  <si>
    <t>马里兰</t>
  </si>
  <si>
    <t>麻萨诸塞州</t>
  </si>
  <si>
    <t>密歇根</t>
  </si>
  <si>
    <t>明尼苏达州</t>
  </si>
  <si>
    <t>密西西比州</t>
  </si>
  <si>
    <t>密苏里州</t>
  </si>
  <si>
    <t>蒙大拿</t>
  </si>
  <si>
    <t>内布拉斯加州</t>
  </si>
  <si>
    <t>内华达</t>
  </si>
  <si>
    <t>新汉普郡</t>
  </si>
  <si>
    <t>新泽西</t>
  </si>
  <si>
    <t>新墨西哥</t>
  </si>
  <si>
    <t>纽约</t>
  </si>
  <si>
    <t>北卡罗莱纳</t>
  </si>
  <si>
    <t>北达科他</t>
  </si>
  <si>
    <t>俄亥俄州</t>
  </si>
  <si>
    <t>俄克拉何马州</t>
  </si>
  <si>
    <t>俄勒冈州</t>
  </si>
  <si>
    <t>宾西法尼亚</t>
  </si>
  <si>
    <t>罗德岛州</t>
  </si>
  <si>
    <t>南卡罗来纳</t>
  </si>
  <si>
    <t>田纳西州</t>
  </si>
  <si>
    <t>德州</t>
  </si>
  <si>
    <t>犹他州</t>
  </si>
  <si>
    <t>佛蒙特州</t>
  </si>
  <si>
    <t>维吉尼亚州</t>
  </si>
  <si>
    <t>华盛顿</t>
  </si>
  <si>
    <t>西维吉尼亚州</t>
  </si>
  <si>
    <t>威斯康辛州</t>
  </si>
  <si>
    <t>怀俄明</t>
  </si>
  <si>
    <t>波多黎各</t>
  </si>
  <si>
    <t>Economist</t>
    <phoneticPr fontId="1" type="noConversion"/>
  </si>
  <si>
    <t>Demographics</t>
  </si>
  <si>
    <t>Politics</t>
    <phoneticPr fontId="1" type="noConversion"/>
  </si>
  <si>
    <t>百分比</t>
    <phoneticPr fontId="1" type="noConversion"/>
  </si>
  <si>
    <t>当前指标</t>
    <phoneticPr fontId="1" type="noConversion"/>
  </si>
  <si>
    <t>The</t>
    <phoneticPr fontId="1" type="noConversion"/>
  </si>
  <si>
    <t>Help</t>
    <phoneticPr fontId="1" type="noConversion"/>
  </si>
  <si>
    <t>Unemployment rate,latest,%</t>
  </si>
  <si>
    <t>标签</t>
    <phoneticPr fontId="1" type="noConversion"/>
  </si>
  <si>
    <t>选项卡的当前所选指标</t>
    <phoneticPr fontId="7" type="noConversion"/>
  </si>
  <si>
    <t>是第几个指标</t>
    <phoneticPr fontId="7" type="noConversion"/>
  </si>
  <si>
    <t>启用鼠标滑过地图突出显示</t>
    <phoneticPr fontId="7" type="noConversion"/>
  </si>
  <si>
    <t>是否显示省名</t>
    <phoneticPr fontId="7" type="noConversion"/>
  </si>
  <si>
    <t>是否显示数值</t>
    <phoneticPr fontId="7" type="noConversion"/>
  </si>
  <si>
    <t>当前所悬停地图的省份</t>
    <phoneticPr fontId="7" type="noConversion"/>
  </si>
  <si>
    <t>当前省份指标</t>
    <phoneticPr fontId="7" type="noConversion"/>
  </si>
  <si>
    <r>
      <t xml:space="preserve">&lt;- </t>
    </r>
    <r>
      <rPr>
        <sz val="10"/>
        <color theme="1"/>
        <rFont val="宋体"/>
        <family val="3"/>
        <charset val="134"/>
      </rPr>
      <t>当前标签</t>
    </r>
    <phoneticPr fontId="7" type="noConversion"/>
  </si>
  <si>
    <t>南达科他州</t>
  </si>
  <si>
    <t>南达科他州</t>
    <phoneticPr fontId="1" type="noConversion"/>
  </si>
  <si>
    <t>Tennessee</t>
    <phoneticPr fontId="1" type="noConversion"/>
  </si>
  <si>
    <t>纽约</t>
    <phoneticPr fontId="1" type="noConversion"/>
  </si>
  <si>
    <t>作图</t>
    <phoneticPr fontId="1" type="noConversion"/>
  </si>
  <si>
    <t>X</t>
    <phoneticPr fontId="1" type="noConversion"/>
  </si>
  <si>
    <r>
      <rPr>
        <sz val="11"/>
        <color theme="0"/>
        <rFont val="Calibri"/>
        <family val="3"/>
        <charset val="134"/>
        <scheme val="minor"/>
      </rPr>
      <t>排名</t>
    </r>
    <phoneticPr fontId="1" type="noConversion"/>
  </si>
  <si>
    <r>
      <rPr>
        <sz val="11"/>
        <color theme="0"/>
        <rFont val="Calibri"/>
        <family val="3"/>
        <charset val="134"/>
        <scheme val="minor"/>
      </rPr>
      <t>标签</t>
    </r>
    <r>
      <rPr>
        <sz val="11"/>
        <color theme="0"/>
        <rFont val="Calibri"/>
        <family val="2"/>
        <scheme val="minor"/>
      </rPr>
      <t>2</t>
    </r>
    <phoneticPr fontId="1" type="noConversion"/>
  </si>
  <si>
    <r>
      <rPr>
        <sz val="11"/>
        <color theme="0"/>
        <rFont val="Calibri"/>
        <family val="3"/>
        <charset val="134"/>
        <scheme val="minor"/>
      </rPr>
      <t>标签</t>
    </r>
    <r>
      <rPr>
        <sz val="11"/>
        <color theme="0"/>
        <rFont val="Calibri"/>
        <family val="2"/>
        <scheme val="minor"/>
      </rPr>
      <t>1</t>
    </r>
    <phoneticPr fontId="1" type="noConversion"/>
  </si>
  <si>
    <r>
      <rPr>
        <sz val="11"/>
        <color theme="0"/>
        <rFont val="Calibri"/>
        <family val="3"/>
        <charset val="134"/>
        <scheme val="minor"/>
      </rPr>
      <t>平均</t>
    </r>
    <phoneticPr fontId="1" type="noConversion"/>
  </si>
  <si>
    <r>
      <rPr>
        <sz val="11"/>
        <color theme="0"/>
        <rFont val="Calibri"/>
        <family val="3"/>
        <charset val="134"/>
        <scheme val="minor"/>
      </rPr>
      <t>显示名字</t>
    </r>
    <phoneticPr fontId="1" type="noConversion"/>
  </si>
  <si>
    <t>Y</t>
    <phoneticPr fontId="1" type="noConversion"/>
  </si>
  <si>
    <t>Sources:whatever is worth doing is worth doing well</t>
    <phoneticPr fontId="1" type="noConversion"/>
  </si>
  <si>
    <t xml:space="preserve">National </t>
    <phoneticPr fontId="1" type="noConversion"/>
  </si>
  <si>
    <r>
      <rPr>
        <sz val="8"/>
        <color theme="0"/>
        <rFont val="Calibri"/>
        <family val="3"/>
        <charset val="134"/>
        <scheme val="minor"/>
      </rPr>
      <t>作者</t>
    </r>
    <r>
      <rPr>
        <sz val="8"/>
        <color theme="0"/>
        <rFont val="Calibri"/>
        <family val="2"/>
        <scheme val="minor"/>
      </rPr>
      <t>:</t>
    </r>
    <r>
      <rPr>
        <sz val="8"/>
        <color theme="0"/>
        <rFont val="Calibri"/>
        <family val="3"/>
        <charset val="134"/>
        <scheme val="minor"/>
      </rPr>
      <t>散落于云海</t>
    </r>
    <r>
      <rPr>
        <sz val="8"/>
        <color theme="0"/>
        <rFont val="Calibri"/>
        <family val="2"/>
        <scheme val="minor"/>
      </rPr>
      <t xml:space="preserve">        www.excelyunhai.com</t>
    </r>
    <phoneticPr fontId="1" type="noConversion"/>
  </si>
  <si>
    <t>Select state</t>
    <phoneticPr fontId="1" type="noConversion"/>
  </si>
  <si>
    <t>2015</t>
  </si>
  <si>
    <t>Demographics</t>
    <phoneticPr fontId="1" type="noConversion"/>
  </si>
  <si>
    <t>DC</t>
    <phoneticPr fontId="1" type="noConversion"/>
  </si>
  <si>
    <t>宽80</t>
    <phoneticPr fontId="1" type="noConversion"/>
  </si>
  <si>
    <t>高200CM</t>
    <phoneticPr fontId="1" type="noConversion"/>
  </si>
  <si>
    <t>企业介绍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</si>
</sst>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%"/>
  </numFmts>
  <fonts count="25" x14ac:knownFonts="1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rgb="FF000000"/>
      <name val="Microsoft YaHei UI"/>
      <family val="2"/>
      <charset val="134"/>
    </font>
    <font>
      <sz val="10"/>
      <color theme="1"/>
      <name val="宋体"/>
      <family val="3"/>
      <charset val="134"/>
    </font>
    <font>
      <sz val="9"/>
      <name val="Arial"/>
      <family val="2"/>
      <charset val="134"/>
    </font>
    <font>
      <sz val="11"/>
      <name val="Calibri"/>
      <family val="2"/>
      <scheme val="minor"/>
    </font>
    <font>
      <sz val="11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b/>
      <sz val="14"/>
      <color rgb="FF0B7BA6"/>
      <name val="Calibri"/>
      <family val="2"/>
      <scheme val="minor"/>
    </font>
    <font>
      <sz val="11"/>
      <color theme="0"/>
      <name val="Calibri"/>
      <family val="3"/>
      <charset val="134"/>
      <scheme val="minor"/>
    </font>
    <font>
      <sz val="11"/>
      <color rgb="FFFF0000"/>
      <name val="Calibri"/>
      <family val="3"/>
      <charset val="134"/>
      <scheme val="minor"/>
    </font>
    <font>
      <b/>
      <sz val="11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4"/>
      <color rgb="FF578A9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3"/>
      <charset val="134"/>
      <scheme val="minor"/>
    </font>
    <font>
      <i/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C000"/>
        <bgColor indexed="64"/>
      </patternFill>
    </fill>
    <fill>
      <patternFill patternType="solid">
        <fgColor rgb="FF08516C"/>
        <bgColor indexed="64"/>
      </patternFill>
    </fill>
    <fill>
      <patternFill patternType="solid">
        <fgColor rgb="FFE75936"/>
        <bgColor indexed="64"/>
      </patternFill>
    </fill>
    <fill>
      <patternFill patternType="solid">
        <fgColor rgb="FF0B7BA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578A9F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vertical="center"/>
    </xf>
    <xf numFmtId="0" fontId="0" fillId="3" borderId="1" xfId="0" applyFont="1" applyFill="1" applyBorder="1" applyAlignment="1">
      <alignment horizontal="left"/>
    </xf>
    <xf numFmtId="0" fontId="0" fillId="3" borderId="1" xfId="0" applyFont="1" applyFill="1" applyBorder="1"/>
    <xf numFmtId="0" fontId="0" fillId="0" borderId="0" xfId="0" applyFont="1" applyAlignment="1">
      <alignment horizontal="left"/>
    </xf>
    <xf numFmtId="0" fontId="0" fillId="0" borderId="0" xfId="0" applyFont="1"/>
    <xf numFmtId="0" fontId="0" fillId="3" borderId="0" xfId="0" applyFont="1" applyFill="1" applyAlignment="1">
      <alignment horizontal="left"/>
    </xf>
    <xf numFmtId="0" fontId="0" fillId="3" borderId="0" xfId="0" applyFont="1" applyFill="1"/>
    <xf numFmtId="2" fontId="0" fillId="3" borderId="1" xfId="0" applyNumberFormat="1" applyFont="1" applyFill="1" applyBorder="1"/>
    <xf numFmtId="2" fontId="0" fillId="0" borderId="0" xfId="0" applyNumberFormat="1" applyFont="1"/>
    <xf numFmtId="2" fontId="0" fillId="3" borderId="0" xfId="0" applyNumberFormat="1" applyFont="1" applyFill="1"/>
    <xf numFmtId="0" fontId="0" fillId="0" borderId="2" xfId="0" applyFont="1" applyBorder="1"/>
    <xf numFmtId="176" fontId="0" fillId="3" borderId="1" xfId="0" applyNumberFormat="1" applyFont="1" applyFill="1" applyBorder="1"/>
    <xf numFmtId="176" fontId="0" fillId="0" borderId="0" xfId="0" applyNumberFormat="1" applyFont="1"/>
    <xf numFmtId="176" fontId="0" fillId="3" borderId="0" xfId="0" applyNumberFormat="1" applyFont="1" applyFill="1"/>
    <xf numFmtId="176" fontId="0" fillId="0" borderId="2" xfId="0" applyNumberFormat="1" applyFont="1" applyBorder="1"/>
    <xf numFmtId="0" fontId="0" fillId="3" borderId="1" xfId="0" applyFont="1" applyFill="1" applyBorder="1" applyAlignment="1"/>
    <xf numFmtId="0" fontId="0" fillId="0" borderId="0" xfId="0" applyFont="1" applyAlignment="1"/>
    <xf numFmtId="0" fontId="0" fillId="3" borderId="0" xfId="0" applyFont="1" applyFill="1" applyAlignment="1"/>
    <xf numFmtId="0" fontId="0" fillId="0" borderId="2" xfId="0" applyFont="1" applyBorder="1" applyAlignment="1"/>
    <xf numFmtId="0" fontId="0" fillId="0" borderId="0" xfId="0" applyAlignment="1"/>
    <xf numFmtId="0" fontId="2" fillId="2" borderId="1" xfId="0" applyFont="1" applyFill="1" applyBorder="1" applyAlignment="1">
      <alignment horizontal="righ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vertical="center"/>
    </xf>
    <xf numFmtId="0" fontId="3" fillId="0" borderId="0" xfId="0" applyFont="1"/>
    <xf numFmtId="0" fontId="2" fillId="2" borderId="0" xfId="0" applyFont="1" applyFill="1" applyBorder="1" applyAlignment="1">
      <alignment horizontal="right" vertical="center"/>
    </xf>
    <xf numFmtId="176" fontId="0" fillId="3" borderId="1" xfId="0" applyNumberFormat="1" applyFont="1" applyFill="1" applyBorder="1" applyAlignment="1"/>
    <xf numFmtId="176" fontId="0" fillId="0" borderId="0" xfId="0" applyNumberFormat="1" applyFont="1" applyAlignment="1"/>
    <xf numFmtId="176" fontId="0" fillId="3" borderId="0" xfId="0" applyNumberFormat="1" applyFont="1" applyFill="1" applyAlignment="1"/>
    <xf numFmtId="0" fontId="0" fillId="5" borderId="3" xfId="0" applyFill="1" applyBorder="1" applyAlignment="1" applyProtection="1">
      <alignment vertical="center"/>
      <protection locked="0"/>
    </xf>
    <xf numFmtId="0" fontId="0" fillId="6" borderId="3" xfId="0" applyFill="1" applyBorder="1" applyAlignment="1" applyProtection="1">
      <alignment vertical="center"/>
      <protection locked="0"/>
    </xf>
    <xf numFmtId="0" fontId="0" fillId="7" borderId="3" xfId="0" applyFill="1" applyBorder="1" applyAlignment="1" applyProtection="1">
      <alignment vertical="center"/>
      <protection locked="0"/>
    </xf>
    <xf numFmtId="0" fontId="0" fillId="4" borderId="4" xfId="0" applyFont="1" applyFill="1" applyBorder="1"/>
    <xf numFmtId="0" fontId="0" fillId="0" borderId="4" xfId="0" applyFont="1" applyBorder="1"/>
    <xf numFmtId="176" fontId="0" fillId="0" borderId="0" xfId="0" applyNumberFormat="1"/>
    <xf numFmtId="1" fontId="0" fillId="0" borderId="0" xfId="0" applyNumberFormat="1"/>
    <xf numFmtId="0" fontId="4" fillId="2" borderId="1" xfId="0" applyFont="1" applyFill="1" applyBorder="1" applyAlignment="1">
      <alignment horizontal="right" vertical="center"/>
    </xf>
    <xf numFmtId="177" fontId="4" fillId="2" borderId="1" xfId="0" applyNumberFormat="1" applyFont="1" applyFill="1" applyBorder="1" applyAlignment="1">
      <alignment horizontal="right" vertical="center"/>
    </xf>
    <xf numFmtId="177" fontId="0" fillId="3" borderId="1" xfId="0" applyNumberFormat="1" applyFont="1" applyFill="1" applyBorder="1" applyAlignment="1"/>
    <xf numFmtId="177" fontId="0" fillId="0" borderId="0" xfId="0" applyNumberFormat="1" applyFont="1" applyAlignment="1"/>
    <xf numFmtId="177" fontId="0" fillId="3" borderId="0" xfId="0" applyNumberFormat="1" applyFont="1" applyFill="1" applyAlignment="1"/>
    <xf numFmtId="177" fontId="0" fillId="0" borderId="0" xfId="0" applyNumberFormat="1" applyAlignment="1"/>
    <xf numFmtId="0" fontId="0" fillId="8" borderId="0" xfId="0" applyFill="1"/>
    <xf numFmtId="0" fontId="6" fillId="0" borderId="0" xfId="0" applyFont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left" vertical="center"/>
    </xf>
    <xf numFmtId="0" fontId="9" fillId="4" borderId="4" xfId="0" applyFont="1" applyFill="1" applyBorder="1" applyAlignment="1">
      <alignment shrinkToFit="1"/>
    </xf>
    <xf numFmtId="0" fontId="8" fillId="4" borderId="4" xfId="0" applyFont="1" applyFill="1" applyBorder="1"/>
    <xf numFmtId="1" fontId="8" fillId="4" borderId="4" xfId="0" applyNumberFormat="1" applyFont="1" applyFill="1" applyBorder="1"/>
    <xf numFmtId="177" fontId="10" fillId="3" borderId="0" xfId="0" applyNumberFormat="1" applyFont="1" applyFill="1"/>
    <xf numFmtId="0" fontId="10" fillId="0" borderId="0" xfId="0" applyFont="1"/>
    <xf numFmtId="176" fontId="0" fillId="3" borderId="1" xfId="0" applyNumberFormat="1" applyFont="1" applyFill="1" applyBorder="1" applyAlignment="1">
      <alignment horizontal="right"/>
    </xf>
    <xf numFmtId="176" fontId="0" fillId="0" borderId="0" xfId="0" applyNumberFormat="1" applyFont="1" applyAlignment="1">
      <alignment horizontal="right"/>
    </xf>
    <xf numFmtId="176" fontId="0" fillId="3" borderId="0" xfId="0" applyNumberFormat="1" applyFont="1" applyFill="1" applyAlignment="1">
      <alignment horizontal="right"/>
    </xf>
    <xf numFmtId="0" fontId="0" fillId="0" borderId="0" xfId="0" applyAlignment="1">
      <alignment horizontal="right"/>
    </xf>
    <xf numFmtId="0" fontId="3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left" vertical="center"/>
    </xf>
    <xf numFmtId="0" fontId="13" fillId="9" borderId="1" xfId="0" applyFont="1" applyFill="1" applyBorder="1" applyAlignment="1">
      <alignment horizontal="left" vertical="center"/>
    </xf>
    <xf numFmtId="0" fontId="17" fillId="0" borderId="0" xfId="0" applyFont="1"/>
    <xf numFmtId="0" fontId="18" fillId="2" borderId="1" xfId="0" applyFont="1" applyFill="1" applyBorder="1" applyAlignment="1">
      <alignment vertical="center"/>
    </xf>
    <xf numFmtId="0" fontId="23" fillId="8" borderId="0" xfId="0" applyFont="1" applyFill="1"/>
    <xf numFmtId="0" fontId="23" fillId="10" borderId="6" xfId="0" applyFont="1" applyFill="1" applyBorder="1" applyAlignment="1">
      <alignment horizontal="center" vertical="center"/>
    </xf>
    <xf numFmtId="0" fontId="0" fillId="8" borderId="0" xfId="0" applyNumberFormat="1" applyFill="1"/>
    <xf numFmtId="0" fontId="0" fillId="11" borderId="0" xfId="0" applyFill="1"/>
    <xf numFmtId="0" fontId="15" fillId="11" borderId="6" xfId="0" applyFont="1" applyFill="1" applyBorder="1" applyAlignment="1">
      <alignment horizontal="center" vertical="center"/>
    </xf>
    <xf numFmtId="0" fontId="24" fillId="11" borderId="0" xfId="0" applyFont="1" applyFill="1" applyAlignment="1"/>
    <xf numFmtId="0" fontId="11" fillId="11" borderId="0" xfId="0" applyFont="1" applyFill="1" applyAlignment="1">
      <alignment horizontal="center"/>
    </xf>
    <xf numFmtId="0" fontId="16" fillId="11" borderId="0" xfId="0" applyFont="1" applyFill="1" applyAlignment="1">
      <alignment horizontal="center"/>
    </xf>
    <xf numFmtId="0" fontId="0" fillId="11" borderId="6" xfId="0" applyFill="1" applyBorder="1"/>
    <xf numFmtId="0" fontId="14" fillId="11" borderId="6" xfId="0" applyFont="1" applyFill="1" applyBorder="1" applyAlignment="1">
      <alignment horizontal="right" vertical="center"/>
    </xf>
    <xf numFmtId="0" fontId="22" fillId="11" borderId="6" xfId="0" applyFont="1" applyFill="1" applyBorder="1" applyAlignment="1">
      <alignment horizontal="left" vertical="center" indent="4"/>
    </xf>
    <xf numFmtId="0" fontId="3" fillId="6" borderId="5" xfId="0" applyFont="1" applyFill="1" applyBorder="1" applyAlignment="1">
      <alignment horizontal="center" vertical="top"/>
    </xf>
    <xf numFmtId="0" fontId="19" fillId="10" borderId="0" xfId="0" applyFont="1" applyFill="1" applyBorder="1"/>
    <xf numFmtId="0" fontId="3" fillId="10" borderId="0" xfId="0" applyFont="1" applyFill="1" applyBorder="1"/>
    <xf numFmtId="0" fontId="20" fillId="10" borderId="0" xfId="0" applyFont="1" applyFill="1" applyBorder="1"/>
  </cellXfs>
  <cellStyles count="1">
    <cellStyle name="常规" xfId="0" builtinId="0"/>
  </cellStyles>
  <dxfs count="5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general" vertical="center" textRotation="0" wrapText="0" indent="0" justifyLastLine="0" shrinkToFit="0" readingOrder="0"/>
    </dxf>
    <dxf>
      <font>
        <b/>
        <i val="0"/>
        <color theme="4"/>
      </font>
      <fill>
        <patternFill>
          <bgColor rgb="FFA4BCC8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A4BCC8"/>
        </bottom>
        <vertical/>
        <horizontal/>
      </border>
    </dxf>
  </dxfs>
  <tableStyles count="0" defaultTableStyle="TableStyleMedium2" defaultPivotStyle="PivotStyleLight16"/>
  <colors>
    <mruColors>
      <color rgb="FF578A9F"/>
      <color rgb="FFE75936"/>
      <color rgb="FF8DABB2"/>
      <color rgb="FFA4BCC8"/>
      <color rgb="FF08516C"/>
      <color rgb="FF0B7B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184055957028E-2"/>
          <c:y val="0.13331898825190311"/>
          <c:w val="0.93324371038985976"/>
          <c:h val="0.667903842470013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index!$V$1</c:f>
              <c:strCache>
                <c:ptCount val="1"/>
                <c:pt idx="0">
                  <c:v>排名</c:v>
                </c:pt>
              </c:strCache>
            </c:strRef>
          </c:tx>
          <c:spPr>
            <a:solidFill>
              <a:srgbClr val="8DABB2"/>
            </a:solidFill>
            <a:ln>
              <a:noFill/>
            </a:ln>
            <a:effectLst/>
          </c:spPr>
          <c:invertIfNegative val="0"/>
          <c:cat>
            <c:strRef>
              <c:f>index!$W$2:$W$53</c:f>
              <c:strCache>
                <c:ptCount val="52"/>
                <c:pt idx="1">
                  <c:v>WY</c:v>
                </c:pt>
                <c:pt idx="3">
                  <c:v>RI</c:v>
                </c:pt>
                <c:pt idx="5">
                  <c:v>OR</c:v>
                </c:pt>
                <c:pt idx="7">
                  <c:v>SC</c:v>
                </c:pt>
                <c:pt idx="9">
                  <c:v>ID</c:v>
                </c:pt>
                <c:pt idx="11">
                  <c:v>ME</c:v>
                </c:pt>
                <c:pt idx="13">
                  <c:v>AK</c:v>
                </c:pt>
                <c:pt idx="15">
                  <c:v>AR</c:v>
                </c:pt>
                <c:pt idx="17">
                  <c:v>KS</c:v>
                </c:pt>
                <c:pt idx="19">
                  <c:v>VA</c:v>
                </c:pt>
                <c:pt idx="21">
                  <c:v>AL</c:v>
                </c:pt>
                <c:pt idx="23">
                  <c:v>NV</c:v>
                </c:pt>
                <c:pt idx="25">
                  <c:v>DC</c:v>
                </c:pt>
                <c:pt idx="27">
                  <c:v>NM</c:v>
                </c:pt>
                <c:pt idx="29">
                  <c:v>NJ</c:v>
                </c:pt>
                <c:pt idx="31">
                  <c:v>OH</c:v>
                </c:pt>
                <c:pt idx="33">
                  <c:v>CT</c:v>
                </c:pt>
                <c:pt idx="35">
                  <c:v>IL</c:v>
                </c:pt>
                <c:pt idx="37">
                  <c:v>MT</c:v>
                </c:pt>
                <c:pt idx="39">
                  <c:v>WI</c:v>
                </c:pt>
                <c:pt idx="41">
                  <c:v>HI</c:v>
                </c:pt>
                <c:pt idx="43">
                  <c:v>WA</c:v>
                </c:pt>
                <c:pt idx="45">
                  <c:v>VT</c:v>
                </c:pt>
                <c:pt idx="47">
                  <c:v>CO</c:v>
                </c:pt>
                <c:pt idx="49">
                  <c:v>NH</c:v>
                </c:pt>
                <c:pt idx="51">
                  <c:v>MS</c:v>
                </c:pt>
              </c:strCache>
            </c:strRef>
          </c:cat>
          <c:val>
            <c:numRef>
              <c:f>index!$V$2:$V$53</c:f>
              <c:numCache>
                <c:formatCode>0.0</c:formatCode>
                <c:ptCount val="52"/>
                <c:pt idx="0">
                  <c:v>0.19818681285916906</c:v>
                </c:pt>
                <c:pt idx="1">
                  <c:v>2.1219650531538625</c:v>
                </c:pt>
                <c:pt idx="2">
                  <c:v>3.0503631718194146</c:v>
                </c:pt>
                <c:pt idx="3">
                  <c:v>5.6952620391926834</c:v>
                </c:pt>
                <c:pt idx="4">
                  <c:v>6.0637406002294174</c:v>
                </c:pt>
                <c:pt idx="5">
                  <c:v>6.6853325413187665</c:v>
                </c:pt>
                <c:pt idx="6">
                  <c:v>7.4447652822688841</c:v>
                </c:pt>
                <c:pt idx="7">
                  <c:v>8.9090576679342508</c:v>
                </c:pt>
                <c:pt idx="8">
                  <c:v>9.9538573800189702</c:v>
                </c:pt>
                <c:pt idx="9">
                  <c:v>11.968012058583376</c:v>
                </c:pt>
                <c:pt idx="10">
                  <c:v>18.288616143582146</c:v>
                </c:pt>
                <c:pt idx="11">
                  <c:v>25.25779307648164</c:v>
                </c:pt>
                <c:pt idx="12">
                  <c:v>26.014439409134383</c:v>
                </c:pt>
                <c:pt idx="13">
                  <c:v>26.253958113212139</c:v>
                </c:pt>
                <c:pt idx="14">
                  <c:v>28.240685240690667</c:v>
                </c:pt>
                <c:pt idx="15">
                  <c:v>29.951371092920297</c:v>
                </c:pt>
                <c:pt idx="16">
                  <c:v>32.442605724624173</c:v>
                </c:pt>
                <c:pt idx="17">
                  <c:v>32.518990872835651</c:v>
                </c:pt>
                <c:pt idx="18">
                  <c:v>33.052979088566694</c:v>
                </c:pt>
                <c:pt idx="19">
                  <c:v>34.975229259426264</c:v>
                </c:pt>
                <c:pt idx="20">
                  <c:v>40.845128953315935</c:v>
                </c:pt>
                <c:pt idx="21">
                  <c:v>41.371257049039031</c:v>
                </c:pt>
                <c:pt idx="22">
                  <c:v>42.00068474911216</c:v>
                </c:pt>
                <c:pt idx="23">
                  <c:v>44.219885227327651</c:v>
                </c:pt>
                <c:pt idx="24">
                  <c:v>45.704312260655534</c:v>
                </c:pt>
                <c:pt idx="25">
                  <c:v>46.669480724501987</c:v>
                </c:pt>
                <c:pt idx="26">
                  <c:v>46.80806754681236</c:v>
                </c:pt>
                <c:pt idx="27">
                  <c:v>47.918371160841154</c:v>
                </c:pt>
                <c:pt idx="28">
                  <c:v>48.667009875880062</c:v>
                </c:pt>
                <c:pt idx="29">
                  <c:v>49.059976969356946</c:v>
                </c:pt>
                <c:pt idx="30">
                  <c:v>49.439183306952451</c:v>
                </c:pt>
                <c:pt idx="31">
                  <c:v>50.767952833719278</c:v>
                </c:pt>
                <c:pt idx="32">
                  <c:v>55.276153774622351</c:v>
                </c:pt>
                <c:pt idx="33">
                  <c:v>55.360260831116015</c:v>
                </c:pt>
                <c:pt idx="34">
                  <c:v>56.619516290464055</c:v>
                </c:pt>
                <c:pt idx="35">
                  <c:v>60.323728071247018</c:v>
                </c:pt>
                <c:pt idx="36">
                  <c:v>61.562787764101635</c:v>
                </c:pt>
                <c:pt idx="37">
                  <c:v>61.58559855444183</c:v>
                </c:pt>
                <c:pt idx="38">
                  <c:v>66.469585547900707</c:v>
                </c:pt>
                <c:pt idx="39">
                  <c:v>74.739623275159772</c:v>
                </c:pt>
                <c:pt idx="40">
                  <c:v>77.154234689071444</c:v>
                </c:pt>
                <c:pt idx="41">
                  <c:v>77.7120401834826</c:v>
                </c:pt>
                <c:pt idx="42">
                  <c:v>80.426394431816533</c:v>
                </c:pt>
                <c:pt idx="43">
                  <c:v>82.076668820762833</c:v>
                </c:pt>
                <c:pt idx="44">
                  <c:v>82.320350007953166</c:v>
                </c:pt>
                <c:pt idx="45">
                  <c:v>82.795571497259346</c:v>
                </c:pt>
                <c:pt idx="46">
                  <c:v>83.358141822478984</c:v>
                </c:pt>
                <c:pt idx="47">
                  <c:v>89.497149247647073</c:v>
                </c:pt>
                <c:pt idx="48">
                  <c:v>94.438509339673487</c:v>
                </c:pt>
                <c:pt idx="49">
                  <c:v>94.879223890780978</c:v>
                </c:pt>
                <c:pt idx="50">
                  <c:v>98.042933886093408</c:v>
                </c:pt>
                <c:pt idx="51">
                  <c:v>98.942635496663513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67-4FA9-BA66-198F75996056}"/>
            </c:ext>
          </c:extLst>
        </c:ser>
        <c:ser>
          <c:idx val="1"/>
          <c:order val="1"/>
          <c:tx>
            <c:strRef>
              <c:f>index!$Y$1</c:f>
              <c:strCache>
                <c:ptCount val="1"/>
                <c:pt idx="0">
                  <c:v>显示名字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index!$Y$2:$Y$53</c:f>
              <c:numCache>
                <c:formatCode>0.0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46.669480724501987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67-4FA9-BA66-198F75996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579372760"/>
        <c:axId val="579373416"/>
      </c:barChart>
      <c:lineChart>
        <c:grouping val="standard"/>
        <c:varyColors val="0"/>
        <c:ser>
          <c:idx val="2"/>
          <c:order val="2"/>
          <c:tx>
            <c:strRef>
              <c:f>index!$Z$1</c:f>
              <c:strCache>
                <c:ptCount val="1"/>
                <c:pt idx="0">
                  <c:v>平均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spPr>
                <a:solidFill>
                  <a:schemeClr val="bg2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667-4FA9-BA66-198F75996056}"/>
                </c:ext>
              </c:extLst>
            </c:dLbl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index!$Z$2:$Z$53</c:f>
              <c:numCache>
                <c:formatCode>0.0</c:formatCode>
                <c:ptCount val="52"/>
                <c:pt idx="0">
                  <c:v>46.848839013636628</c:v>
                </c:pt>
                <c:pt idx="1">
                  <c:v>46.848839013636628</c:v>
                </c:pt>
                <c:pt idx="2">
                  <c:v>46.848839013636628</c:v>
                </c:pt>
                <c:pt idx="3">
                  <c:v>46.848839013636628</c:v>
                </c:pt>
                <c:pt idx="4">
                  <c:v>46.848839013636628</c:v>
                </c:pt>
                <c:pt idx="5">
                  <c:v>46.848839013636628</c:v>
                </c:pt>
                <c:pt idx="6">
                  <c:v>46.848839013636628</c:v>
                </c:pt>
                <c:pt idx="7">
                  <c:v>46.848839013636628</c:v>
                </c:pt>
                <c:pt idx="8">
                  <c:v>46.848839013636628</c:v>
                </c:pt>
                <c:pt idx="9">
                  <c:v>46.848839013636628</c:v>
                </c:pt>
                <c:pt idx="10">
                  <c:v>46.848839013636628</c:v>
                </c:pt>
                <c:pt idx="11">
                  <c:v>46.848839013636628</c:v>
                </c:pt>
                <c:pt idx="12">
                  <c:v>46.848839013636628</c:v>
                </c:pt>
                <c:pt idx="13">
                  <c:v>46.848839013636628</c:v>
                </c:pt>
                <c:pt idx="14">
                  <c:v>46.848839013636628</c:v>
                </c:pt>
                <c:pt idx="15">
                  <c:v>46.848839013636628</c:v>
                </c:pt>
                <c:pt idx="16">
                  <c:v>46.848839013636628</c:v>
                </c:pt>
                <c:pt idx="17">
                  <c:v>46.848839013636628</c:v>
                </c:pt>
                <c:pt idx="18">
                  <c:v>46.848839013636628</c:v>
                </c:pt>
                <c:pt idx="19">
                  <c:v>46.848839013636628</c:v>
                </c:pt>
                <c:pt idx="20">
                  <c:v>46.848839013636628</c:v>
                </c:pt>
                <c:pt idx="21">
                  <c:v>46.848839013636628</c:v>
                </c:pt>
                <c:pt idx="22">
                  <c:v>46.848839013636628</c:v>
                </c:pt>
                <c:pt idx="23">
                  <c:v>46.848839013636628</c:v>
                </c:pt>
                <c:pt idx="24">
                  <c:v>46.848839013636628</c:v>
                </c:pt>
                <c:pt idx="25">
                  <c:v>46.848839013636628</c:v>
                </c:pt>
                <c:pt idx="26">
                  <c:v>46.848839013636628</c:v>
                </c:pt>
                <c:pt idx="27">
                  <c:v>46.848839013636628</c:v>
                </c:pt>
                <c:pt idx="28">
                  <c:v>46.848839013636628</c:v>
                </c:pt>
                <c:pt idx="29">
                  <c:v>46.848839013636628</c:v>
                </c:pt>
                <c:pt idx="30">
                  <c:v>46.848839013636628</c:v>
                </c:pt>
                <c:pt idx="31">
                  <c:v>46.848839013636628</c:v>
                </c:pt>
                <c:pt idx="32">
                  <c:v>46.848839013636628</c:v>
                </c:pt>
                <c:pt idx="33">
                  <c:v>46.848839013636628</c:v>
                </c:pt>
                <c:pt idx="34">
                  <c:v>46.848839013636628</c:v>
                </c:pt>
                <c:pt idx="35">
                  <c:v>46.848839013636628</c:v>
                </c:pt>
                <c:pt idx="36">
                  <c:v>46.848839013636628</c:v>
                </c:pt>
                <c:pt idx="37">
                  <c:v>46.848839013636628</c:v>
                </c:pt>
                <c:pt idx="38">
                  <c:v>46.848839013636628</c:v>
                </c:pt>
                <c:pt idx="39">
                  <c:v>46.848839013636628</c:v>
                </c:pt>
                <c:pt idx="40">
                  <c:v>46.848839013636628</c:v>
                </c:pt>
                <c:pt idx="41">
                  <c:v>46.848839013636628</c:v>
                </c:pt>
                <c:pt idx="42">
                  <c:v>46.848839013636628</c:v>
                </c:pt>
                <c:pt idx="43">
                  <c:v>46.848839013636628</c:v>
                </c:pt>
                <c:pt idx="44">
                  <c:v>46.848839013636628</c:v>
                </c:pt>
                <c:pt idx="45">
                  <c:v>46.848839013636628</c:v>
                </c:pt>
                <c:pt idx="46">
                  <c:v>46.848839013636628</c:v>
                </c:pt>
                <c:pt idx="47">
                  <c:v>46.848839013636628</c:v>
                </c:pt>
                <c:pt idx="48">
                  <c:v>46.848839013636628</c:v>
                </c:pt>
                <c:pt idx="49">
                  <c:v>46.848839013636628</c:v>
                </c:pt>
                <c:pt idx="50">
                  <c:v>46.848839013636628</c:v>
                </c:pt>
                <c:pt idx="51">
                  <c:v>46.848839013636628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67-4FA9-BA66-198F75996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372760"/>
        <c:axId val="579373416"/>
      </c:lineChart>
      <c:scatterChart>
        <c:scatterStyle val="lineMarker"/>
        <c:varyColors val="0"/>
        <c:ser>
          <c:idx val="3"/>
          <c:order val="3"/>
          <c:tx>
            <c:strRef>
              <c:f>index!$X$1</c:f>
              <c:strCache>
                <c:ptCount val="1"/>
                <c:pt idx="0">
                  <c:v>标签2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3.8790730426989307E-2"/>
                  <c:y val="0.1125256177788041"/>
                </c:manualLayout>
              </c:layout>
              <c:tx>
                <c:strRef>
                  <c:f>index!$X$2</c:f>
                  <c:strCache>
                    <c:ptCount val="1"/>
                    <c:pt idx="0">
                      <c:v>IA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0833333333333334E-2"/>
                      <c:h val="8.5081727602648247E-2"/>
                    </c:manualLayout>
                  </c15:layout>
                  <c15:dlblFieldTable>
                    <c15:dlblFTEntry>
                      <c15:txfldGUID>{601F889E-38E4-4295-B5F5-20066B0277BC}</c15:txfldGUID>
                      <c15:f>index!$X$2</c15:f>
                      <c15:dlblFieldTableCache>
                        <c:ptCount val="1"/>
                        <c:pt idx="0">
                          <c:v>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2667-4FA9-BA66-198F75996056}"/>
                </c:ext>
              </c:extLst>
            </c:dLbl>
            <c:dLbl>
              <c:idx val="1"/>
              <c:layout>
                <c:manualLayout>
                  <c:x val="-3.3541706676909297E-2"/>
                  <c:y val="0.1125256177788041"/>
                </c:manualLayout>
              </c:layout>
              <c:tx>
                <c:strRef>
                  <c:f>index!$X$3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2205364573330773E-2"/>
                      <c:h val="8.5081727602648247E-2"/>
                    </c:manualLayout>
                  </c15:layout>
                  <c15:dlblFieldTable>
                    <c15:dlblFTEntry>
                      <c15:txfldGUID>{09871E19-DA92-467A-9E31-ABF02BE09598}</c15:txfldGUID>
                      <c15:f>index!$X$3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2667-4FA9-BA66-198F75996056}"/>
                </c:ext>
              </c:extLst>
            </c:dLbl>
            <c:dLbl>
              <c:idx val="2"/>
              <c:layout>
                <c:manualLayout>
                  <c:x val="-4.0386018820818131E-2"/>
                  <c:y val="0.1125256177788041"/>
                </c:manualLayout>
              </c:layout>
              <c:tx>
                <c:strRef>
                  <c:f>index!$X$4</c:f>
                  <c:strCache>
                    <c:ptCount val="1"/>
                    <c:pt idx="0">
                      <c:v>ND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4024390243902441E-2"/>
                      <c:h val="8.5081727602648247E-2"/>
                    </c:manualLayout>
                  </c15:layout>
                  <c15:dlblFieldTable>
                    <c15:dlblFTEntry>
                      <c15:txfldGUID>{E5107CAA-7200-44BA-971C-A746715D7C62}</c15:txfldGUID>
                      <c15:f>index!$X$4</c15:f>
                      <c15:dlblFieldTableCache>
                        <c:ptCount val="1"/>
                        <c:pt idx="0">
                          <c:v>ND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2667-4FA9-BA66-198F75996056}"/>
                </c:ext>
              </c:extLst>
            </c:dLbl>
            <c:dLbl>
              <c:idx val="3"/>
              <c:layout>
                <c:manualLayout>
                  <c:x val="-3.354170667690929E-2"/>
                  <c:y val="0.1125256177788041"/>
                </c:manualLayout>
              </c:layout>
              <c:tx>
                <c:strRef>
                  <c:f>index!$X$5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2205364573330773E-2"/>
                      <c:h val="8.5081727602648247E-2"/>
                    </c:manualLayout>
                  </c15:layout>
                  <c15:dlblFieldTable>
                    <c15:dlblFTEntry>
                      <c15:txfldGUID>{4E7135FF-9132-407F-BD43-9B670DD5A655}</c15:txfldGUID>
                      <c15:f>index!$X$5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2667-4FA9-BA66-198F75996056}"/>
                </c:ext>
              </c:extLst>
            </c:dLbl>
            <c:dLbl>
              <c:idx val="4"/>
              <c:layout>
                <c:manualLayout>
                  <c:x val="-3.9075283272517768E-2"/>
                  <c:y val="0.1125256177788041"/>
                </c:manualLayout>
              </c:layout>
              <c:tx>
                <c:strRef>
                  <c:f>index!$X$6</c:f>
                  <c:strCache>
                    <c:ptCount val="1"/>
                    <c:pt idx="0">
                      <c:v>AZ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1402439024390244E-2"/>
                      <c:h val="8.5081727602648247E-2"/>
                    </c:manualLayout>
                  </c15:layout>
                  <c15:dlblFieldTable>
                    <c15:dlblFTEntry>
                      <c15:txfldGUID>{B76F7162-A0C3-44B5-80D3-8AB8CBCE8DDD}</c15:txfldGUID>
                      <c15:f>index!$X$6</c15:f>
                      <c15:dlblFieldTableCache>
                        <c:ptCount val="1"/>
                        <c:pt idx="0">
                          <c:v>AZ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2667-4FA9-BA66-198F75996056}"/>
                </c:ext>
              </c:extLst>
            </c:dLbl>
            <c:dLbl>
              <c:idx val="5"/>
              <c:layout>
                <c:manualLayout>
                  <c:x val="-3.3541706676909311E-2"/>
                  <c:y val="0.1125256177788041"/>
                </c:manualLayout>
              </c:layout>
              <c:tx>
                <c:strRef>
                  <c:f>index!$X$7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2205364573330773E-2"/>
                      <c:h val="8.5081727602648247E-2"/>
                    </c:manualLayout>
                  </c15:layout>
                  <c15:dlblFieldTable>
                    <c15:dlblFTEntry>
                      <c15:txfldGUID>{068FB85F-C83A-4C58-9596-3689A78668B7}</c15:txfldGUID>
                      <c15:f>index!$X$7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2667-4FA9-BA66-198F75996056}"/>
                </c:ext>
              </c:extLst>
            </c:dLbl>
            <c:dLbl>
              <c:idx val="6"/>
              <c:layout>
                <c:manualLayout>
                  <c:x val="-3.6626016260162583E-2"/>
                  <c:y val="0.1125256177788041"/>
                </c:manualLayout>
              </c:layout>
              <c:tx>
                <c:strRef>
                  <c:f>index!$X$8</c:f>
                  <c:strCache>
                    <c:ptCount val="1"/>
                    <c:pt idx="0">
                      <c:v>SD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6504065040650407E-2"/>
                      <c:h val="8.5081727602648247E-2"/>
                    </c:manualLayout>
                  </c15:layout>
                  <c15:dlblFieldTable>
                    <c15:dlblFTEntry>
                      <c15:txfldGUID>{63848AD9-D63A-4CDB-AD88-92F3306F8329}</c15:txfldGUID>
                      <c15:f>index!$X$8</c15:f>
                      <c15:dlblFieldTableCache>
                        <c:ptCount val="1"/>
                        <c:pt idx="0">
                          <c:v>SD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2667-4FA9-BA66-198F75996056}"/>
                </c:ext>
              </c:extLst>
            </c:dLbl>
            <c:dLbl>
              <c:idx val="7"/>
              <c:layout>
                <c:manualLayout>
                  <c:x val="-3.354170667690929E-2"/>
                  <c:y val="0.1125256177788041"/>
                </c:manualLayout>
              </c:layout>
              <c:tx>
                <c:strRef>
                  <c:f>index!$X$9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2205364573330773E-2"/>
                      <c:h val="8.5081727602648247E-2"/>
                    </c:manualLayout>
                  </c15:layout>
                  <c15:dlblFieldTable>
                    <c15:dlblFTEntry>
                      <c15:txfldGUID>{45047930-A7B9-48E2-9A67-6641A90CE560}</c15:txfldGUID>
                      <c15:f>index!$X$9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2667-4FA9-BA66-198F75996056}"/>
                </c:ext>
              </c:extLst>
            </c:dLbl>
            <c:dLbl>
              <c:idx val="8"/>
              <c:layout>
                <c:manualLayout>
                  <c:x val="-4.1717559695282028E-2"/>
                  <c:y val="0.1125256177788041"/>
                </c:manualLayout>
              </c:layout>
              <c:tx>
                <c:strRef>
                  <c:f>index!$X$10</c:f>
                  <c:strCache>
                    <c:ptCount val="1"/>
                    <c:pt idx="0">
                      <c:v>NC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556910569105691E-2"/>
                      <c:h val="8.5081727602648247E-2"/>
                    </c:manualLayout>
                  </c15:layout>
                  <c15:dlblFieldTable>
                    <c15:dlblFTEntry>
                      <c15:txfldGUID>{F20F82F7-B01F-46E1-B911-264A7199383D}</c15:txfldGUID>
                      <c15:f>index!$X$10</c15:f>
                      <c15:dlblFieldTableCache>
                        <c:ptCount val="1"/>
                        <c:pt idx="0">
                          <c:v>NC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2667-4FA9-BA66-198F75996056}"/>
                </c:ext>
              </c:extLst>
            </c:dLbl>
            <c:dLbl>
              <c:idx val="9"/>
              <c:layout>
                <c:manualLayout>
                  <c:x val="-3.354170667690929E-2"/>
                  <c:y val="0.1125256177788041"/>
                </c:manualLayout>
              </c:layout>
              <c:tx>
                <c:strRef>
                  <c:f>index!$X$11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2205364573330773E-2"/>
                      <c:h val="8.5081727602648247E-2"/>
                    </c:manualLayout>
                  </c15:layout>
                  <c15:dlblFieldTable>
                    <c15:dlblFTEntry>
                      <c15:txfldGUID>{313E201F-7F57-4F17-BB92-DBC16B8D3998}</c15:txfldGUID>
                      <c15:f>index!$X$11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2667-4FA9-BA66-198F75996056}"/>
                </c:ext>
              </c:extLst>
            </c:dLbl>
            <c:dLbl>
              <c:idx val="10"/>
              <c:layout>
                <c:manualLayout>
                  <c:x val="-3.7428941809103132E-2"/>
                  <c:y val="0.1125256177788041"/>
                </c:manualLayout>
              </c:layout>
              <c:tx>
                <c:strRef>
                  <c:f>index!$X$12</c:f>
                  <c:strCache>
                    <c:ptCount val="1"/>
                    <c:pt idx="0">
                      <c:v>TX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109756097560976E-2"/>
                      <c:h val="8.5081727602648247E-2"/>
                    </c:manualLayout>
                  </c15:layout>
                  <c15:dlblFieldTable>
                    <c15:dlblFTEntry>
                      <c15:txfldGUID>{9FD5886C-C756-4C25-9F58-C6E2DF650F48}</c15:txfldGUID>
                      <c15:f>index!$X$12</c15:f>
                      <c15:dlblFieldTableCache>
                        <c:ptCount val="1"/>
                        <c:pt idx="0">
                          <c:v>TX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2667-4FA9-BA66-198F75996056}"/>
                </c:ext>
              </c:extLst>
            </c:dLbl>
            <c:dLbl>
              <c:idx val="11"/>
              <c:layout>
                <c:manualLayout>
                  <c:x val="-3.3541706676909325E-2"/>
                  <c:y val="0.1125256177788041"/>
                </c:manualLayout>
              </c:layout>
              <c:tx>
                <c:strRef>
                  <c:f>index!$X$13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2205364573330773E-2"/>
                      <c:h val="8.5081727602648247E-2"/>
                    </c:manualLayout>
                  </c15:layout>
                  <c15:dlblFieldTable>
                    <c15:dlblFTEntry>
                      <c15:txfldGUID>{AE8055F8-6537-470B-A2C3-AD04F51857C3}</c15:txfldGUID>
                      <c15:f>index!$X$13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2667-4FA9-BA66-198F75996056}"/>
                </c:ext>
              </c:extLst>
            </c:dLbl>
            <c:dLbl>
              <c:idx val="12"/>
              <c:layout>
                <c:manualLayout>
                  <c:x val="-4.333333333333337E-2"/>
                  <c:y val="0.1125256177788041"/>
                </c:manualLayout>
              </c:layout>
              <c:tx>
                <c:strRef>
                  <c:f>index!$X$14</c:f>
                  <c:strCache>
                    <c:ptCount val="1"/>
                    <c:pt idx="0">
                      <c:v>MO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1788617886178865E-2"/>
                      <c:h val="8.5081727602648247E-2"/>
                    </c:manualLayout>
                  </c15:layout>
                  <c15:dlblFieldTable>
                    <c15:dlblFTEntry>
                      <c15:txfldGUID>{8962DB5D-1AB1-4469-A035-6FEE291BC942}</c15:txfldGUID>
                      <c15:f>index!$X$14</c15:f>
                      <c15:dlblFieldTableCache>
                        <c:ptCount val="1"/>
                        <c:pt idx="0">
                          <c:v>MO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2667-4FA9-BA66-198F75996056}"/>
                </c:ext>
              </c:extLst>
            </c:dLbl>
            <c:dLbl>
              <c:idx val="13"/>
              <c:layout>
                <c:manualLayout>
                  <c:x val="-3.354170667690929E-2"/>
                  <c:y val="0.1125256177788041"/>
                </c:manualLayout>
              </c:layout>
              <c:tx>
                <c:strRef>
                  <c:f>index!$X$15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2205364573330773E-2"/>
                      <c:h val="8.5081727602648247E-2"/>
                    </c:manualLayout>
                  </c15:layout>
                  <c15:dlblFieldTable>
                    <c15:dlblFTEntry>
                      <c15:txfldGUID>{85355F78-C59C-4D8B-95B6-B2F59D2A89EB}</c15:txfldGUID>
                      <c15:f>index!$X$15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2667-4FA9-BA66-198F75996056}"/>
                </c:ext>
              </c:extLst>
            </c:dLbl>
            <c:dLbl>
              <c:idx val="14"/>
              <c:layout>
                <c:manualLayout>
                  <c:x val="-4.5487884898534059E-2"/>
                  <c:y val="0.1125256177788041"/>
                </c:manualLayout>
              </c:layout>
              <c:tx>
                <c:strRef>
                  <c:f>index!$X$16</c:f>
                  <c:strCache>
                    <c:ptCount val="1"/>
                    <c:pt idx="0">
                      <c:v>UT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6097560975609753E-2"/>
                      <c:h val="8.5081727602648247E-2"/>
                    </c:manualLayout>
                  </c15:layout>
                  <c15:dlblFieldTable>
                    <c15:dlblFTEntry>
                      <c15:txfldGUID>{BB533E14-3A62-4EEE-83C2-52E581D42533}</c15:txfldGUID>
                      <c15:f>index!$X$16</c15:f>
                      <c15:dlblFieldTableCache>
                        <c:ptCount val="1"/>
                        <c:pt idx="0">
                          <c:v>UT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2667-4FA9-BA66-198F75996056}"/>
                </c:ext>
              </c:extLst>
            </c:dLbl>
            <c:dLbl>
              <c:idx val="15"/>
              <c:layout>
                <c:manualLayout>
                  <c:x val="-3.3541706676909325E-2"/>
                  <c:y val="0.1125256177788041"/>
                </c:manualLayout>
              </c:layout>
              <c:tx>
                <c:strRef>
                  <c:f>index!$X$17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2205364573330773E-2"/>
                      <c:h val="8.5081727602648247E-2"/>
                    </c:manualLayout>
                  </c15:layout>
                  <c15:dlblFieldTable>
                    <c15:dlblFTEntry>
                      <c15:txfldGUID>{A1FC931C-03FB-48D5-B850-333375DC0A9B}</c15:txfldGUID>
                      <c15:f>index!$X$17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2667-4FA9-BA66-198F75996056}"/>
                </c:ext>
              </c:extLst>
            </c:dLbl>
            <c:dLbl>
              <c:idx val="16"/>
              <c:layout>
                <c:manualLayout>
                  <c:x val="-4.1661705396581525E-2"/>
                  <c:y val="0.1125256177788041"/>
                </c:manualLayout>
              </c:layout>
              <c:tx>
                <c:strRef>
                  <c:f>index!$X$18</c:f>
                  <c:strCache>
                    <c:ptCount val="1"/>
                    <c:pt idx="0">
                      <c:v>OK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445201971704758E-2"/>
                      <c:h val="8.5081727602648247E-2"/>
                    </c:manualLayout>
                  </c15:layout>
                  <c15:dlblFieldTable>
                    <c15:dlblFTEntry>
                      <c15:txfldGUID>{8FFE6A88-04FE-4CEA-83F4-159999293B91}</c15:txfldGUID>
                      <c15:f>index!$X$18</c15:f>
                      <c15:dlblFieldTableCache>
                        <c:ptCount val="1"/>
                        <c:pt idx="0">
                          <c:v>OK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2667-4FA9-BA66-198F75996056}"/>
                </c:ext>
              </c:extLst>
            </c:dLbl>
            <c:dLbl>
              <c:idx val="17"/>
              <c:layout>
                <c:manualLayout>
                  <c:x val="-3.354170667690929E-2"/>
                  <c:y val="0.1125256177788041"/>
                </c:manualLayout>
              </c:layout>
              <c:tx>
                <c:strRef>
                  <c:f>index!$X$19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2205364573330773E-2"/>
                      <c:h val="8.5081727602648247E-2"/>
                    </c:manualLayout>
                  </c15:layout>
                  <c15:dlblFieldTable>
                    <c15:dlblFTEntry>
                      <c15:txfldGUID>{CED34AC4-A055-4804-8908-885C429B4CC5}</c15:txfldGUID>
                      <c15:f>index!$X$19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2667-4FA9-BA66-198F75996056}"/>
                </c:ext>
              </c:extLst>
            </c:dLbl>
            <c:dLbl>
              <c:idx val="18"/>
              <c:layout>
                <c:manualLayout>
                  <c:x val="-4.1605691056910567E-2"/>
                  <c:y val="0.1125256177788041"/>
                </c:manualLayout>
              </c:layout>
              <c:tx>
                <c:strRef>
                  <c:f>index!$X$20</c:f>
                  <c:strCache>
                    <c:ptCount val="1"/>
                    <c:pt idx="0">
                      <c:v>PR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333333333333332E-2"/>
                      <c:h val="8.5081727602648247E-2"/>
                    </c:manualLayout>
                  </c15:layout>
                  <c15:dlblFieldTable>
                    <c15:dlblFTEntry>
                      <c15:txfldGUID>{C98A21B2-61B9-459B-A1DD-470063D80143}</c15:txfldGUID>
                      <c15:f>index!$X$20</c15:f>
                      <c15:dlblFieldTableCache>
                        <c:ptCount val="1"/>
                        <c:pt idx="0">
                          <c:v>PR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2667-4FA9-BA66-198F75996056}"/>
                </c:ext>
              </c:extLst>
            </c:dLbl>
            <c:dLbl>
              <c:idx val="19"/>
              <c:layout>
                <c:manualLayout>
                  <c:x val="-3.354170667690929E-2"/>
                  <c:y val="0.1125256177788041"/>
                </c:manualLayout>
              </c:layout>
              <c:tx>
                <c:strRef>
                  <c:f>index!$X$21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2205364573330773E-2"/>
                      <c:h val="8.5081727602648247E-2"/>
                    </c:manualLayout>
                  </c15:layout>
                  <c15:dlblFieldTable>
                    <c15:dlblFTEntry>
                      <c15:txfldGUID>{D14AAC79-7A0F-440B-BDBF-7FF341F21AED}</c15:txfldGUID>
                      <c15:f>index!$X$21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2667-4FA9-BA66-198F75996056}"/>
                </c:ext>
              </c:extLst>
            </c:dLbl>
            <c:dLbl>
              <c:idx val="20"/>
              <c:layout>
                <c:manualLayout>
                  <c:x val="-4.5472520965367136E-2"/>
                  <c:y val="0.1125256177788041"/>
                </c:manualLayout>
              </c:layout>
              <c:tx>
                <c:strRef>
                  <c:f>index!$X$22</c:f>
                  <c:strCache>
                    <c:ptCount val="1"/>
                    <c:pt idx="0">
                      <c:v>MD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606699315024646E-2"/>
                      <c:h val="8.5081727602648247E-2"/>
                    </c:manualLayout>
                  </c15:layout>
                  <c15:dlblFieldTable>
                    <c15:dlblFTEntry>
                      <c15:txfldGUID>{CB9B9D65-13D1-46A5-9F04-3CA13406787C}</c15:txfldGUID>
                      <c15:f>index!$X$22</c15:f>
                      <c15:dlblFieldTableCache>
                        <c:ptCount val="1"/>
                        <c:pt idx="0">
                          <c:v>MD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2667-4FA9-BA66-198F75996056}"/>
                </c:ext>
              </c:extLst>
            </c:dLbl>
            <c:dLbl>
              <c:idx val="21"/>
              <c:layout>
                <c:manualLayout>
                  <c:x val="-3.354170667690929E-2"/>
                  <c:y val="0.1125256177788041"/>
                </c:manualLayout>
              </c:layout>
              <c:tx>
                <c:strRef>
                  <c:f>index!$X$23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2205364573330773E-2"/>
                      <c:h val="8.5081727602648247E-2"/>
                    </c:manualLayout>
                  </c15:layout>
                  <c15:dlblFieldTable>
                    <c15:dlblFTEntry>
                      <c15:txfldGUID>{FFCBC563-B564-48F9-8F0C-FAA24C8FA9D0}</c15:txfldGUID>
                      <c15:f>index!$X$23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2667-4FA9-BA66-198F75996056}"/>
                </c:ext>
              </c:extLst>
            </c:dLbl>
            <c:dLbl>
              <c:idx val="22"/>
              <c:layout>
                <c:manualLayout>
                  <c:x val="-4.2870974969592288E-2"/>
                  <c:y val="0.1125256177788041"/>
                </c:manualLayout>
              </c:layout>
              <c:tx>
                <c:strRef>
                  <c:f>index!$X$24</c:f>
                  <c:strCache>
                    <c:ptCount val="1"/>
                    <c:pt idx="0">
                      <c:v>MN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0863741117726138E-2"/>
                      <c:h val="8.5081727602648247E-2"/>
                    </c:manualLayout>
                  </c15:layout>
                  <c15:dlblFieldTable>
                    <c15:dlblFTEntry>
                      <c15:txfldGUID>{A22920B0-FDB9-4FBF-ACDD-CDC399331375}</c15:txfldGUID>
                      <c15:f>index!$X$24</c15:f>
                      <c15:dlblFieldTableCache>
                        <c:ptCount val="1"/>
                        <c:pt idx="0">
                          <c:v>MN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2667-4FA9-BA66-198F75996056}"/>
                </c:ext>
              </c:extLst>
            </c:dLbl>
            <c:dLbl>
              <c:idx val="23"/>
              <c:layout>
                <c:manualLayout>
                  <c:x val="-3.354170667690929E-2"/>
                  <c:y val="0.1125256177788041"/>
                </c:manualLayout>
              </c:layout>
              <c:tx>
                <c:strRef>
                  <c:f>index!$X$25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2205364573330773E-2"/>
                      <c:h val="8.5081727602648247E-2"/>
                    </c:manualLayout>
                  </c15:layout>
                  <c15:dlblFieldTable>
                    <c15:dlblFTEntry>
                      <c15:txfldGUID>{49EDBE37-735A-4562-A963-E976403742F7}</c15:txfldGUID>
                      <c15:f>index!$X$25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2667-4FA9-BA66-198F75996056}"/>
                </c:ext>
              </c:extLst>
            </c:dLbl>
            <c:dLbl>
              <c:idx val="24"/>
              <c:layout>
                <c:manualLayout>
                  <c:x val="-4.2444145701299604E-2"/>
                  <c:y val="0.1125256177788041"/>
                </c:manualLayout>
              </c:layout>
              <c:tx>
                <c:strRef>
                  <c:f>index!$X$26</c:f>
                  <c:strCache>
                    <c:ptCount val="1"/>
                    <c:pt idx="0">
                      <c:v>GA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0010082581140771E-2"/>
                      <c:h val="8.5081727602648247E-2"/>
                    </c:manualLayout>
                  </c15:layout>
                  <c15:dlblFieldTable>
                    <c15:dlblFTEntry>
                      <c15:txfldGUID>{54CEEDDE-13F3-4F32-BE9F-83445A0977A4}</c15:txfldGUID>
                      <c15:f>index!$X$26</c15:f>
                      <c15:dlblFieldTableCache>
                        <c:ptCount val="1"/>
                        <c:pt idx="0">
                          <c:v>GA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2667-4FA9-BA66-198F75996056}"/>
                </c:ext>
              </c:extLst>
            </c:dLbl>
            <c:dLbl>
              <c:idx val="25"/>
              <c:layout>
                <c:manualLayout>
                  <c:x val="-3.3541706676909366E-2"/>
                  <c:y val="0.1125256177788041"/>
                </c:manualLayout>
              </c:layout>
              <c:tx>
                <c:strRef>
                  <c:f>index!$X$27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2205364573330773E-2"/>
                      <c:h val="8.5081727602648247E-2"/>
                    </c:manualLayout>
                  </c15:layout>
                  <c15:dlblFieldTable>
                    <c15:dlblFTEntry>
                      <c15:txfldGUID>{D6E77A36-7906-4F79-94DE-73F6D1C002B0}</c15:txfldGUID>
                      <c15:f>index!$X$27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2667-4FA9-BA66-198F75996056}"/>
                </c:ext>
              </c:extLst>
            </c:dLbl>
            <c:dLbl>
              <c:idx val="26"/>
              <c:layout>
                <c:manualLayout>
                  <c:x val="-4.3252032520325279E-2"/>
                  <c:y val="0.1125256177788041"/>
                </c:manualLayout>
              </c:layout>
              <c:tx>
                <c:strRef>
                  <c:f>index!$X$28</c:f>
                  <c:strCache>
                    <c:ptCount val="1"/>
                    <c:pt idx="0">
                      <c:v>PA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16260162601626E-2"/>
                      <c:h val="8.5081727602648247E-2"/>
                    </c:manualLayout>
                  </c15:layout>
                  <c15:dlblFieldTable>
                    <c15:dlblFTEntry>
                      <c15:txfldGUID>{DD27E568-2A26-4B76-93DD-7F98586BED44}</c15:txfldGUID>
                      <c15:f>index!$X$28</c15:f>
                      <c15:dlblFieldTableCache>
                        <c:ptCount val="1"/>
                        <c:pt idx="0">
                          <c:v>PA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2667-4FA9-BA66-198F75996056}"/>
                </c:ext>
              </c:extLst>
            </c:dLbl>
            <c:dLbl>
              <c:idx val="27"/>
              <c:layout>
                <c:manualLayout>
                  <c:x val="-3.3541706676909366E-2"/>
                  <c:y val="0.1125256177788041"/>
                </c:manualLayout>
              </c:layout>
              <c:tx>
                <c:strRef>
                  <c:f>index!$X$29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2205364573330773E-2"/>
                      <c:h val="8.5081727602648247E-2"/>
                    </c:manualLayout>
                  </c15:layout>
                  <c15:dlblFieldTable>
                    <c15:dlblFTEntry>
                      <c15:txfldGUID>{4291EFB8-D8CF-4196-A622-49329EE17D6E}</c15:txfldGUID>
                      <c15:f>index!$X$29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2667-4FA9-BA66-198F75996056}"/>
                </c:ext>
              </c:extLst>
            </c:dLbl>
            <c:dLbl>
              <c:idx val="28"/>
              <c:layout>
                <c:manualLayout>
                  <c:x val="-4.2749023750079947E-2"/>
                  <c:y val="0.1125256177788041"/>
                </c:manualLayout>
              </c:layout>
              <c:tx>
                <c:strRef>
                  <c:f>index!$X$30</c:f>
                  <c:strCache>
                    <c:ptCount val="1"/>
                    <c:pt idx="0">
                      <c:v>NY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0619838678701747E-2"/>
                      <c:h val="8.5081727602648247E-2"/>
                    </c:manualLayout>
                  </c15:layout>
                  <c15:dlblFieldTable>
                    <c15:dlblFTEntry>
                      <c15:txfldGUID>{F3CD9044-3A21-4D0E-A28F-AC3D575CB5CB}</c15:txfldGUID>
                      <c15:f>index!$X$30</c15:f>
                      <c15:dlblFieldTableCache>
                        <c:ptCount val="1"/>
                        <c:pt idx="0">
                          <c:v>NY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2667-4FA9-BA66-198F75996056}"/>
                </c:ext>
              </c:extLst>
            </c:dLbl>
            <c:dLbl>
              <c:idx val="29"/>
              <c:layout>
                <c:manualLayout>
                  <c:x val="-3.354170667690929E-2"/>
                  <c:y val="0.1125256177788041"/>
                </c:manualLayout>
              </c:layout>
              <c:tx>
                <c:strRef>
                  <c:f>index!$X$31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2205364573330773E-2"/>
                      <c:h val="8.5081727602648247E-2"/>
                    </c:manualLayout>
                  </c15:layout>
                  <c15:dlblFieldTable>
                    <c15:dlblFTEntry>
                      <c15:txfldGUID>{81390B34-B5F3-4054-A66F-E943F38CE371}</c15:txfldGUID>
                      <c15:f>index!$X$31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2667-4FA9-BA66-198F75996056}"/>
                </c:ext>
              </c:extLst>
            </c:dLbl>
            <c:dLbl>
              <c:idx val="30"/>
              <c:layout>
                <c:manualLayout>
                  <c:x val="-4.4898373983739838E-2"/>
                  <c:y val="0.1125256177788041"/>
                </c:manualLayout>
              </c:layout>
              <c:tx>
                <c:strRef>
                  <c:f>index!$X$32</c:f>
                  <c:strCache>
                    <c:ptCount val="1"/>
                    <c:pt idx="0">
                      <c:v>WV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678861788617886E-2"/>
                      <c:h val="8.5081727602648247E-2"/>
                    </c:manualLayout>
                  </c15:layout>
                  <c15:dlblFieldTable>
                    <c15:dlblFTEntry>
                      <c15:txfldGUID>{C3C20B43-A700-43A8-8EA8-FA412BCCA904}</c15:txfldGUID>
                      <c15:f>index!$X$32</c15:f>
                      <c15:dlblFieldTableCache>
                        <c:ptCount val="1"/>
                        <c:pt idx="0">
                          <c:v>WV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2667-4FA9-BA66-198F75996056}"/>
                </c:ext>
              </c:extLst>
            </c:dLbl>
            <c:dLbl>
              <c:idx val="31"/>
              <c:layout>
                <c:manualLayout>
                  <c:x val="-3.3541706676909366E-2"/>
                  <c:y val="0.1125256177788041"/>
                </c:manualLayout>
              </c:layout>
              <c:tx>
                <c:strRef>
                  <c:f>index!$X$33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2205364573330773E-2"/>
                      <c:h val="8.5081727602648247E-2"/>
                    </c:manualLayout>
                  </c15:layout>
                  <c15:dlblFieldTable>
                    <c15:dlblFTEntry>
                      <c15:txfldGUID>{A35C3856-DF71-4652-B39A-5A9841E2DBA7}</c15:txfldGUID>
                      <c15:f>index!$X$33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2667-4FA9-BA66-198F75996056}"/>
                </c:ext>
              </c:extLst>
            </c:dLbl>
            <c:dLbl>
              <c:idx val="32"/>
              <c:layout>
                <c:manualLayout>
                  <c:x val="-5.0665770437232006E-2"/>
                  <c:y val="0.1125256177788041"/>
                </c:manualLayout>
              </c:layout>
              <c:tx>
                <c:strRef>
                  <c:f>index!$X$34</c:f>
                  <c:strCache>
                    <c:ptCount val="1"/>
                    <c:pt idx="0">
                      <c:v>MI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0193169451379554E-2"/>
                      <c:h val="8.5081727602648247E-2"/>
                    </c:manualLayout>
                  </c15:layout>
                  <c15:dlblFieldTable>
                    <c15:dlblFTEntry>
                      <c15:txfldGUID>{4AB0B5D3-5889-4972-BDEF-E77AD7536E55}</c15:txfldGUID>
                      <c15:f>index!$X$34</c15:f>
                      <c15:dlblFieldTableCache>
                        <c:ptCount val="1"/>
                        <c:pt idx="0">
                          <c:v>MI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2667-4FA9-BA66-198F75996056}"/>
                </c:ext>
              </c:extLst>
            </c:dLbl>
            <c:dLbl>
              <c:idx val="33"/>
              <c:layout>
                <c:manualLayout>
                  <c:x val="-3.354170667690929E-2"/>
                  <c:y val="0.1125256177788041"/>
                </c:manualLayout>
              </c:layout>
              <c:tx>
                <c:strRef>
                  <c:f>index!$X$35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2205364573330773E-2"/>
                      <c:h val="8.5081727602648247E-2"/>
                    </c:manualLayout>
                  </c15:layout>
                  <c15:dlblFieldTable>
                    <c15:dlblFTEntry>
                      <c15:txfldGUID>{21E2A1B1-5250-4FB4-A14D-B29DF0763DAF}</c15:txfldGUID>
                      <c15:f>index!$X$35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2667-4FA9-BA66-198F75996056}"/>
                </c:ext>
              </c:extLst>
            </c:dLbl>
            <c:dLbl>
              <c:idx val="34"/>
              <c:layout>
                <c:manualLayout>
                  <c:x val="-4.5787721656744051E-2"/>
                  <c:y val="0.1125256177788041"/>
                </c:manualLayout>
              </c:layout>
              <c:tx>
                <c:strRef>
                  <c:f>index!$X$36</c:f>
                  <c:strCache>
                    <c:ptCount val="1"/>
                    <c:pt idx="0">
                      <c:v>LA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56715319121695E-2"/>
                      <c:h val="8.5081727602648247E-2"/>
                    </c:manualLayout>
                  </c15:layout>
                  <c15:dlblFieldTable>
                    <c15:dlblFTEntry>
                      <c15:txfldGUID>{A84A6D26-DF95-4520-9B7C-3BFBB1FC953F}</c15:txfldGUID>
                      <c15:f>index!$X$36</c15:f>
                      <c15:dlblFieldTableCache>
                        <c:ptCount val="1"/>
                        <c:pt idx="0">
                          <c:v>LA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2667-4FA9-BA66-198F75996056}"/>
                </c:ext>
              </c:extLst>
            </c:dLbl>
            <c:dLbl>
              <c:idx val="35"/>
              <c:layout>
                <c:manualLayout>
                  <c:x val="-3.354170667690929E-2"/>
                  <c:y val="0.1125256177788041"/>
                </c:manualLayout>
              </c:layout>
              <c:tx>
                <c:strRef>
                  <c:f>index!$X$37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2205364573330773E-2"/>
                      <c:h val="8.5081727602648247E-2"/>
                    </c:manualLayout>
                  </c15:layout>
                  <c15:dlblFieldTable>
                    <c15:dlblFTEntry>
                      <c15:txfldGUID>{48F866CE-EF4B-4297-83E0-2B6D797B3F3E}</c15:txfldGUID>
                      <c15:f>index!$X$37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2667-4FA9-BA66-198F75996056}"/>
                </c:ext>
              </c:extLst>
            </c:dLbl>
            <c:dLbl>
              <c:idx val="36"/>
              <c:layout>
                <c:manualLayout>
                  <c:x val="-5.0884226361948656E-2"/>
                  <c:y val="0.1125256177788041"/>
                </c:manualLayout>
              </c:layout>
              <c:tx>
                <c:strRef>
                  <c:f>index!$X$38</c:f>
                  <c:strCache>
                    <c:ptCount val="1"/>
                    <c:pt idx="0">
                      <c:v>FL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0630081300813006E-2"/>
                      <c:h val="8.5081727602648247E-2"/>
                    </c:manualLayout>
                  </c15:layout>
                  <c15:dlblFieldTable>
                    <c15:dlblFTEntry>
                      <c15:txfldGUID>{647F2C40-57CD-416E-82D1-715558F39397}</c15:txfldGUID>
                      <c15:f>index!$X$38</c15:f>
                      <c15:dlblFieldTableCache>
                        <c:ptCount val="1"/>
                        <c:pt idx="0">
                          <c:v>FL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2667-4FA9-BA66-198F75996056}"/>
                </c:ext>
              </c:extLst>
            </c:dLbl>
            <c:dLbl>
              <c:idx val="37"/>
              <c:layout>
                <c:manualLayout>
                  <c:x val="-3.354170667690929E-2"/>
                  <c:y val="0.1125256177788041"/>
                </c:manualLayout>
              </c:layout>
              <c:tx>
                <c:strRef>
                  <c:f>index!$X$39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2205364573330773E-2"/>
                      <c:h val="8.5081727602648247E-2"/>
                    </c:manualLayout>
                  </c15:layout>
                  <c15:dlblFieldTable>
                    <c15:dlblFTEntry>
                      <c15:txfldGUID>{274D8366-AE00-453F-9564-077B8B218EEA}</c15:txfldGUID>
                      <c15:f>index!$X$39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2667-4FA9-BA66-198F75996056}"/>
                </c:ext>
              </c:extLst>
            </c:dLbl>
            <c:dLbl>
              <c:idx val="38"/>
              <c:layout>
                <c:manualLayout>
                  <c:x val="-5.0635202611868636E-2"/>
                  <c:y val="0.1125256177788041"/>
                </c:manualLayout>
              </c:layout>
              <c:tx>
                <c:strRef>
                  <c:f>index!$X$40</c:f>
                  <c:strCache>
                    <c:ptCount val="1"/>
                    <c:pt idx="0">
                      <c:v>MA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0132033800652967E-2"/>
                      <c:h val="8.5081727602648247E-2"/>
                    </c:manualLayout>
                  </c15:layout>
                  <c15:dlblFieldTable>
                    <c15:dlblFTEntry>
                      <c15:txfldGUID>{5C175DB6-0B3D-4E4F-A0CA-489E3188C796}</c15:txfldGUID>
                      <c15:f>index!$X$40</c15:f>
                      <c15:dlblFieldTableCache>
                        <c:ptCount val="1"/>
                        <c:pt idx="0">
                          <c:v>MA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2667-4FA9-BA66-198F75996056}"/>
                </c:ext>
              </c:extLst>
            </c:dLbl>
            <c:dLbl>
              <c:idx val="39"/>
              <c:layout>
                <c:manualLayout>
                  <c:x val="-3.354170667690929E-2"/>
                  <c:y val="0.1125256177788041"/>
                </c:manualLayout>
              </c:layout>
              <c:tx>
                <c:strRef>
                  <c:f>index!$X$41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2205364573330773E-2"/>
                      <c:h val="8.5081727602648247E-2"/>
                    </c:manualLayout>
                  </c15:layout>
                  <c15:dlblFieldTable>
                    <c15:dlblFTEntry>
                      <c15:txfldGUID>{246D4023-D721-47A5-A9EA-DC1DFE7C5BA9}</c15:txfldGUID>
                      <c15:f>index!$X$41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2667-4FA9-BA66-198F75996056}"/>
                </c:ext>
              </c:extLst>
            </c:dLbl>
            <c:dLbl>
              <c:idx val="40"/>
              <c:layout>
                <c:manualLayout>
                  <c:x val="-5.2352762307150628E-2"/>
                  <c:y val="0.1125256177788041"/>
                </c:manualLayout>
              </c:layout>
              <c:tx>
                <c:strRef>
                  <c:f>index!$X$42</c:f>
                  <c:strCache>
                    <c:ptCount val="1"/>
                    <c:pt idx="0">
                      <c:v>IN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3567153191216954E-2"/>
                      <c:h val="8.5081727602648247E-2"/>
                    </c:manualLayout>
                  </c15:layout>
                  <c15:dlblFieldTable>
                    <c15:dlblFTEntry>
                      <c15:txfldGUID>{112AB1DC-7BA8-462C-B150-4EB09E1FF807}</c15:txfldGUID>
                      <c15:f>index!$X$42</c15:f>
                      <c15:dlblFieldTableCache>
                        <c:ptCount val="1"/>
                        <c:pt idx="0">
                          <c:v>IN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2667-4FA9-BA66-198F75996056}"/>
                </c:ext>
              </c:extLst>
            </c:dLbl>
            <c:dLbl>
              <c:idx val="41"/>
              <c:layout>
                <c:manualLayout>
                  <c:x val="-3.354170667690929E-2"/>
                  <c:y val="0.1125256177788041"/>
                </c:manualLayout>
              </c:layout>
              <c:tx>
                <c:strRef>
                  <c:f>index!$X$43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2205364573330773E-2"/>
                      <c:h val="8.5081727602648247E-2"/>
                    </c:manualLayout>
                  </c15:layout>
                  <c15:dlblFieldTable>
                    <c15:dlblFTEntry>
                      <c15:txfldGUID>{821A67C1-745D-4FD3-A406-5C4AB38B5EAB}</c15:txfldGUID>
                      <c15:f>index!$X$43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2667-4FA9-BA66-198F75996056}"/>
                </c:ext>
              </c:extLst>
            </c:dLbl>
            <c:dLbl>
              <c:idx val="42"/>
              <c:layout>
                <c:manualLayout>
                  <c:x val="-4.8846584725689778E-2"/>
                  <c:y val="0.1125256177788041"/>
                </c:manualLayout>
              </c:layout>
              <c:tx>
                <c:strRef>
                  <c:f>index!$X$44</c:f>
                  <c:strCache>
                    <c:ptCount val="1"/>
                    <c:pt idx="0">
                      <c:v>NE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0619838678701747E-2"/>
                      <c:h val="8.5081727602648247E-2"/>
                    </c:manualLayout>
                  </c15:layout>
                  <c15:dlblFieldTable>
                    <c15:dlblFTEntry>
                      <c15:txfldGUID>{DB7D8E61-FA58-4FC6-8B76-4B6D1C42DF6C}</c15:txfldGUID>
                      <c15:f>index!$X$44</c15:f>
                      <c15:dlblFieldTableCache>
                        <c:ptCount val="1"/>
                        <c:pt idx="0">
                          <c:v>NE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2667-4FA9-BA66-198F75996056}"/>
                </c:ext>
              </c:extLst>
            </c:dLbl>
            <c:dLbl>
              <c:idx val="43"/>
              <c:layout>
                <c:manualLayout>
                  <c:x val="-3.354170667690929E-2"/>
                  <c:y val="0.1125256177788041"/>
                </c:manualLayout>
              </c:layout>
              <c:tx>
                <c:strRef>
                  <c:f>index!$X$45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2205364573330773E-2"/>
                      <c:h val="8.5081727602648247E-2"/>
                    </c:manualLayout>
                  </c15:layout>
                  <c15:dlblFieldTable>
                    <c15:dlblFTEntry>
                      <c15:txfldGUID>{ACAD3FB7-1E0F-4A78-B6CA-65EFCBD9F1DB}</c15:txfldGUID>
                      <c15:f>index!$X$45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2667-4FA9-BA66-198F75996056}"/>
                </c:ext>
              </c:extLst>
            </c:dLbl>
            <c:dLbl>
              <c:idx val="44"/>
              <c:layout>
                <c:manualLayout>
                  <c:x val="-4.9791786697394536E-2"/>
                  <c:y val="0.1125256177788041"/>
                </c:manualLayout>
              </c:layout>
              <c:tx>
                <c:strRef>
                  <c:f>index!$X$46</c:f>
                  <c:strCache>
                    <c:ptCount val="1"/>
                    <c:pt idx="0">
                      <c:v>DE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445201971704758E-2"/>
                      <c:h val="8.5081727602648247E-2"/>
                    </c:manualLayout>
                  </c15:layout>
                  <c15:dlblFieldTable>
                    <c15:dlblFTEntry>
                      <c15:txfldGUID>{1C37C9EF-DA3B-49EE-917A-AA0D7D0C991A}</c15:txfldGUID>
                      <c15:f>index!$X$46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2667-4FA9-BA66-198F75996056}"/>
                </c:ext>
              </c:extLst>
            </c:dLbl>
            <c:dLbl>
              <c:idx val="45"/>
              <c:layout>
                <c:manualLayout>
                  <c:x val="-3.354170667690929E-2"/>
                  <c:y val="0.1125256177788041"/>
                </c:manualLayout>
              </c:layout>
              <c:tx>
                <c:strRef>
                  <c:f>index!$X$47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2205364573330773E-2"/>
                      <c:h val="8.5081727602648247E-2"/>
                    </c:manualLayout>
                  </c15:layout>
                  <c15:dlblFieldTable>
                    <c15:dlblFTEntry>
                      <c15:txfldGUID>{6679F846-9236-4418-95B7-A3CBCD83ED45}</c15:txfldGUID>
                      <c15:f>index!$X$47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2667-4FA9-BA66-198F75996056}"/>
                </c:ext>
              </c:extLst>
            </c:dLbl>
            <c:dLbl>
              <c:idx val="46"/>
              <c:layout>
                <c:manualLayout>
                  <c:x val="-5.0594552205364574E-2"/>
                  <c:y val="0.1125256177788041"/>
                </c:manualLayout>
              </c:layout>
              <c:tx>
                <c:strRef>
                  <c:f>index!$X$48</c:f>
                  <c:strCache>
                    <c:ptCount val="1"/>
                    <c:pt idx="0">
                      <c:v>TN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0050732987644838E-2"/>
                      <c:h val="8.5081727602648247E-2"/>
                    </c:manualLayout>
                  </c15:layout>
                  <c15:dlblFieldTable>
                    <c15:dlblFTEntry>
                      <c15:txfldGUID>{BA227F99-ABFF-4D12-8492-442BD606FA7F}</c15:txfldGUID>
                      <c15:f>index!$X$48</c15:f>
                      <c15:dlblFieldTableCache>
                        <c:ptCount val="1"/>
                        <c:pt idx="0">
                          <c:v>TN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2667-4FA9-BA66-198F75996056}"/>
                </c:ext>
              </c:extLst>
            </c:dLbl>
            <c:dLbl>
              <c:idx val="47"/>
              <c:layout>
                <c:manualLayout>
                  <c:x val="-3.1509186351706034E-2"/>
                  <c:y val="0.1125256177788041"/>
                </c:manualLayout>
              </c:layout>
              <c:tx>
                <c:strRef>
                  <c:f>index!$X$49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2205364573330773E-2"/>
                      <c:h val="8.5081727602648247E-2"/>
                    </c:manualLayout>
                  </c15:layout>
                  <c15:dlblFieldTable>
                    <c15:dlblFTEntry>
                      <c15:txfldGUID>{BAE5C3B1-D22D-43CF-A96C-CB206631139D}</c15:txfldGUID>
                      <c15:f>index!$X$49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2667-4FA9-BA66-198F75996056}"/>
                </c:ext>
              </c:extLst>
            </c:dLbl>
            <c:dLbl>
              <c:idx val="48"/>
              <c:layout>
                <c:manualLayout>
                  <c:x val="-5.401422764227657E-2"/>
                  <c:y val="0.1125256177788041"/>
                </c:manualLayout>
              </c:layout>
              <c:tx>
                <c:strRef>
                  <c:f>index!$X$50</c:f>
                  <c:strCache>
                    <c:ptCount val="1"/>
                    <c:pt idx="0">
                      <c:v>CA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2825203252032517E-2"/>
                      <c:h val="8.5081727602648247E-2"/>
                    </c:manualLayout>
                  </c15:layout>
                  <c15:dlblFieldTable>
                    <c15:dlblFTEntry>
                      <c15:txfldGUID>{A0029D1E-7474-4407-91C0-78E7C67CFE41}</c15:txfldGUID>
                      <c15:f>index!$X$50</c15:f>
                      <c15:dlblFieldTableCache>
                        <c:ptCount val="1"/>
                        <c:pt idx="0">
                          <c:v>CA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2667-4FA9-BA66-198F75996056}"/>
                </c:ext>
              </c:extLst>
            </c:dLbl>
            <c:dLbl>
              <c:idx val="49"/>
              <c:layout>
                <c:manualLayout>
                  <c:x val="-3.3541706676909436E-2"/>
                  <c:y val="0.1125256177788041"/>
                </c:manualLayout>
              </c:layout>
              <c:tx>
                <c:strRef>
                  <c:f>index!$X$51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2205364573330773E-2"/>
                      <c:h val="8.5081727602648247E-2"/>
                    </c:manualLayout>
                  </c15:layout>
                  <c15:dlblFieldTable>
                    <c15:dlblFTEntry>
                      <c15:txfldGUID>{6C25D6F3-A3E5-4247-83E1-C61A8FEB6D40}</c15:txfldGUID>
                      <c15:f>index!$X$51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2667-4FA9-BA66-198F75996056}"/>
                </c:ext>
              </c:extLst>
            </c:dLbl>
            <c:dLbl>
              <c:idx val="50"/>
              <c:layout>
                <c:manualLayout>
                  <c:x val="-3.2105178925805153E-2"/>
                  <c:y val="0.1125256177788041"/>
                </c:manualLayout>
              </c:layout>
              <c:tx>
                <c:strRef>
                  <c:f>index!$X$52</c:f>
                  <c:strCache>
                    <c:ptCount val="1"/>
                    <c:pt idx="0">
                      <c:v>KY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5121951219512197E-2"/>
                      <c:h val="8.5081727602648247E-2"/>
                    </c:manualLayout>
                  </c15:layout>
                  <c15:dlblFieldTable>
                    <c15:dlblFTEntry>
                      <c15:txfldGUID>{466110D3-54FB-42C0-89EF-634DC738295B}</c15:txfldGUID>
                      <c15:f>index!$X$52</c15:f>
                      <c15:dlblFieldTableCache>
                        <c:ptCount val="1"/>
                        <c:pt idx="0">
                          <c:v>KY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2667-4FA9-BA66-198F75996056}"/>
                </c:ext>
              </c:extLst>
            </c:dLbl>
            <c:dLbl>
              <c:idx val="51"/>
              <c:layout>
                <c:manualLayout>
                  <c:x val="-2.0325203252032522E-3"/>
                  <c:y val="6.6652146645219019E-3"/>
                </c:manualLayout>
              </c:layout>
              <c:tx>
                <c:strRef>
                  <c:f>index!$X$53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"/>
                      <c:h val="0"/>
                    </c:manualLayout>
                  </c15:layout>
                  <c15:dlblFieldTable>
                    <c15:dlblFTEntry>
                      <c15:txfldGUID>{B50190B4-27F5-4547-9BBE-9F6DDF0ED5B4}</c15:txfldGUID>
                      <c15:f>index!$X$53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2667-4FA9-BA66-198F759960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index!$AA$2:$AA$53</c:f>
              <c:numCache>
                <c:formatCode>0.0</c:formatCod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numCache>
            </c:numRef>
          </c:xVal>
          <c:yVal>
            <c:numRef>
              <c:f>index!$AB$2:$AB$53</c:f>
              <c:numCache>
                <c:formatCode>0.0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667-4FA9-BA66-198F75996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815936"/>
        <c:axId val="391814296"/>
      </c:scatterChart>
      <c:catAx>
        <c:axId val="579372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79373416"/>
        <c:crosses val="autoZero"/>
        <c:auto val="1"/>
        <c:lblAlgn val="ctr"/>
        <c:lblOffset val="0"/>
        <c:noMultiLvlLbl val="0"/>
      </c:catAx>
      <c:valAx>
        <c:axId val="579373416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prstDash val="dashDot"/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79372760"/>
        <c:crosses val="autoZero"/>
        <c:crossBetween val="between"/>
      </c:valAx>
      <c:valAx>
        <c:axId val="39181429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extTo"/>
        <c:crossAx val="391815936"/>
        <c:crosses val="autoZero"/>
        <c:crossBetween val="midCat"/>
      </c:valAx>
      <c:valAx>
        <c:axId val="391815936"/>
        <c:scaling>
          <c:orientation val="minMax"/>
          <c:max val="51"/>
          <c:min val="0"/>
        </c:scaling>
        <c:delete val="0"/>
        <c:axPos val="b"/>
        <c:numFmt formatCode="0.0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1814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index!$J$6" lockText="1" noThreeD="1"/>
</file>

<file path=xl/ctrlProps/ctrlProp2.xml><?xml version="1.0" encoding="utf-8"?>
<formControlPr xmlns="http://schemas.microsoft.com/office/spreadsheetml/2009/9/main" objectType="CheckBox" checked="Checked" fmlaLink="index!$J$7" lockText="1" noThreeD="1"/>
</file>

<file path=xl/ctrlProps/ctrlProp3.xml><?xml version="1.0" encoding="utf-8"?>
<formControlPr xmlns="http://schemas.microsoft.com/office/spreadsheetml/2009/9/main" objectType="CheckBox" checked="Checked" fmlaLink="index!$J$8" lockText="1" noThreeD="1"/>
</file>

<file path=xl/ctrlProps/ctrlProp4.xml><?xml version="1.0" encoding="utf-8"?>
<formControlPr xmlns="http://schemas.microsoft.com/office/spreadsheetml/2009/9/main" objectType="CheckBox" checked="Checked" fmlaLink="index!$J$7" lockText="1" noThreeD="1"/>
</file>

<file path=xl/ctrlProps/ctrlProp5.xml><?xml version="1.0" encoding="utf-8"?>
<formControlPr xmlns="http://schemas.microsoft.com/office/spreadsheetml/2009/9/main" objectType="CheckBox" checked="Checked" fmlaLink="index!$J$14" lockText="1" noThreeD="1"/>
</file>

<file path=xl/ctrlProps/ctrlProp6.xml><?xml version="1.0" encoding="utf-8"?>
<formControlPr xmlns="http://schemas.microsoft.com/office/spreadsheetml/2009/9/main" objectType="Drop" dropLines="4" dropStyle="combo" dx="22" fmlaLink="$K$5" fmlaRange="$K$6:$K$9" noThreeD="1" sel="2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85725</xdr:colOff>
      <xdr:row>2</xdr:row>
      <xdr:rowOff>22777</xdr:rowOff>
    </xdr:from>
    <xdr:ext cx="809625" cy="295275"/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8638" y="403777"/>
          <a:ext cx="80962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b">
          <a:noAutofit/>
        </a:bodyPr>
        <a:lstStyle/>
        <a:p>
          <a:pPr algn="ctr"/>
          <a:br>
            <a:rPr lang="en-US" altLang="zh-CN" sz="1100">
              <a:solidFill>
                <a:schemeClr val="bg1"/>
              </a:solidFill>
            </a:rPr>
          </a:br>
          <a:r>
            <a:rPr lang="en-US" altLang="zh-CN" sz="1100">
              <a:solidFill>
                <a:schemeClr val="bg1"/>
              </a:solidFill>
            </a:rPr>
            <a:t>Economist</a:t>
          </a:r>
          <a:endParaRPr lang="zh-CN" altLang="en-US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6</xdr:row>
          <xdr:rowOff>106680</xdr:rowOff>
        </xdr:from>
        <xdr:to>
          <xdr:col>9</xdr:col>
          <xdr:colOff>259080</xdr:colOff>
          <xdr:row>7</xdr:row>
          <xdr:rowOff>160020</xdr:rowOff>
        </xdr:to>
        <xdr:sp macro="" textlink="">
          <xdr:nvSpPr>
            <xdr:cNvPr id="4097" name="ComboBox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25</xdr:row>
          <xdr:rowOff>45720</xdr:rowOff>
        </xdr:from>
        <xdr:to>
          <xdr:col>2</xdr:col>
          <xdr:colOff>769620</xdr:colOff>
          <xdr:row>25</xdr:row>
          <xdr:rowOff>228600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808080" mc:Ignorable="a14" a14:legacySpreadsheetColorIndex="23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突出地图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25</xdr:row>
      <xdr:rowOff>256760</xdr:rowOff>
    </xdr:from>
    <xdr:to>
      <xdr:col>6</xdr:col>
      <xdr:colOff>0</xdr:colOff>
      <xdr:row>36</xdr:row>
      <xdr:rowOff>0</xdr:rowOff>
    </xdr:to>
    <xdr:graphicFrame macro="">
      <xdr:nvGraphicFramePr>
        <xdr:cNvPr id="537" name="图表 536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25</xdr:row>
          <xdr:rowOff>38100</xdr:rowOff>
        </xdr:from>
        <xdr:to>
          <xdr:col>5</xdr:col>
          <xdr:colOff>257175</xdr:colOff>
          <xdr:row>25</xdr:row>
          <xdr:rowOff>247650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pSpPr/>
          </xdr:nvGrpSpPr>
          <xdr:grpSpPr>
            <a:xfrm>
              <a:off x="6896100" y="4312920"/>
              <a:ext cx="1651635" cy="209550"/>
              <a:chOff x="6715124" y="4476750"/>
              <a:chExt cx="1609723" cy="209550"/>
            </a:xfrm>
          </xdr:grpSpPr>
          <xdr:sp macro="" textlink="">
            <xdr:nvSpPr>
              <xdr:cNvPr id="4099" name="Check Box 3" hidden="1">
                <a:extLst>
                  <a:ext uri="{63B3BB69-23CF-44E3-9099-C40C66FF867C}">
                    <a14:compatExt spid="_x0000_s4099"/>
                  </a:ext>
                  <a:ext uri="{FF2B5EF4-FFF2-40B4-BE49-F238E27FC236}">
                    <a16:creationId xmlns:a16="http://schemas.microsoft.com/office/drawing/2014/main" id="{00000000-0008-0000-0100-000003100000}"/>
                  </a:ext>
                </a:extLst>
              </xdr:cNvPr>
              <xdr:cNvSpPr/>
            </xdr:nvSpPr>
            <xdr:spPr bwMode="auto">
              <a:xfrm>
                <a:off x="7281862" y="4476750"/>
                <a:ext cx="4762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州名</a:t>
                </a:r>
              </a:p>
            </xdr:txBody>
          </xdr:sp>
          <xdr:sp macro="" textlink="">
            <xdr:nvSpPr>
              <xdr:cNvPr id="4100" name="Check Box 4" hidden="1">
                <a:extLst>
                  <a:ext uri="{63B3BB69-23CF-44E3-9099-C40C66FF867C}">
                    <a14:compatExt spid="_x0000_s4100"/>
                  </a:ext>
                  <a:ext uri="{FF2B5EF4-FFF2-40B4-BE49-F238E27FC236}">
                    <a16:creationId xmlns:a16="http://schemas.microsoft.com/office/drawing/2014/main" id="{00000000-0008-0000-0100-000004100000}"/>
                  </a:ext>
                </a:extLst>
              </xdr:cNvPr>
              <xdr:cNvSpPr/>
            </xdr:nvSpPr>
            <xdr:spPr bwMode="auto">
              <a:xfrm>
                <a:off x="7848598" y="4476750"/>
                <a:ext cx="476249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数值</a:t>
                </a:r>
              </a:p>
            </xdr:txBody>
          </xdr:sp>
          <xdr:sp macro="" textlink="">
            <xdr:nvSpPr>
              <xdr:cNvPr id="4101" name="Check Box 5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100-000005100000}"/>
                  </a:ext>
                </a:extLst>
              </xdr:cNvPr>
              <xdr:cNvSpPr/>
            </xdr:nvSpPr>
            <xdr:spPr bwMode="auto">
              <a:xfrm>
                <a:off x="6715124" y="4476750"/>
                <a:ext cx="476249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中文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25</xdr:row>
          <xdr:rowOff>45720</xdr:rowOff>
        </xdr:from>
        <xdr:to>
          <xdr:col>1</xdr:col>
          <xdr:colOff>762000</xdr:colOff>
          <xdr:row>25</xdr:row>
          <xdr:rowOff>228600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808080" mc:Ignorable="a14" a14:legacySpreadsheetColorIndex="23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定基比较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266700</xdr:colOff>
      <xdr:row>18</xdr:row>
      <xdr:rowOff>104775</xdr:rowOff>
    </xdr:from>
    <xdr:to>
      <xdr:col>2</xdr:col>
      <xdr:colOff>1533525</xdr:colOff>
      <xdr:row>23</xdr:row>
      <xdr:rowOff>114300</xdr:rowOff>
    </xdr:to>
    <xdr:grpSp>
      <xdr:nvGrpSpPr>
        <xdr:cNvPr id="14" name="组合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2766060" y="3198495"/>
          <a:ext cx="2188845" cy="923925"/>
          <a:chOff x="2552700" y="3314700"/>
          <a:chExt cx="2162175" cy="962025"/>
        </a:xfrm>
      </xdr:grpSpPr>
      <xdr:sp macro="" textlink="">
        <xdr:nvSpPr>
          <xdr:cNvPr id="10" name="任意多边形: 形状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2552700" y="3314700"/>
            <a:ext cx="2162175" cy="962025"/>
          </a:xfrm>
          <a:custGeom>
            <a:avLst/>
            <a:gdLst>
              <a:gd name="connsiteX0" fmla="*/ 0 w 2162175"/>
              <a:gd name="connsiteY0" fmla="*/ 0 h 962025"/>
              <a:gd name="connsiteX1" fmla="*/ 714375 w 2162175"/>
              <a:gd name="connsiteY1" fmla="*/ 0 h 962025"/>
              <a:gd name="connsiteX2" fmla="*/ 1209675 w 2162175"/>
              <a:gd name="connsiteY2" fmla="*/ 333375 h 962025"/>
              <a:gd name="connsiteX3" fmla="*/ 1704975 w 2162175"/>
              <a:gd name="connsiteY3" fmla="*/ 323850 h 962025"/>
              <a:gd name="connsiteX4" fmla="*/ 2095500 w 2162175"/>
              <a:gd name="connsiteY4" fmla="*/ 647700 h 962025"/>
              <a:gd name="connsiteX5" fmla="*/ 2162175 w 2162175"/>
              <a:gd name="connsiteY5" fmla="*/ 962025 h 9620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2162175" h="962025">
                <a:moveTo>
                  <a:pt x="0" y="0"/>
                </a:moveTo>
                <a:lnTo>
                  <a:pt x="714375" y="0"/>
                </a:lnTo>
                <a:lnTo>
                  <a:pt x="1209675" y="333375"/>
                </a:lnTo>
                <a:lnTo>
                  <a:pt x="1704975" y="323850"/>
                </a:lnTo>
                <a:lnTo>
                  <a:pt x="2095500" y="647700"/>
                </a:lnTo>
                <a:lnTo>
                  <a:pt x="2162175" y="962025"/>
                </a:ln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3" name="任意多边形: 形状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3762375" y="3648075"/>
            <a:ext cx="219075" cy="514350"/>
          </a:xfrm>
          <a:custGeom>
            <a:avLst/>
            <a:gdLst>
              <a:gd name="connsiteX0" fmla="*/ 0 w 219075"/>
              <a:gd name="connsiteY0" fmla="*/ 0 h 514350"/>
              <a:gd name="connsiteX1" fmla="*/ 38100 w 219075"/>
              <a:gd name="connsiteY1" fmla="*/ 361950 h 514350"/>
              <a:gd name="connsiteX2" fmla="*/ 219075 w 219075"/>
              <a:gd name="connsiteY2" fmla="*/ 514350 h 514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219075" h="514350">
                <a:moveTo>
                  <a:pt x="0" y="0"/>
                </a:moveTo>
                <a:lnTo>
                  <a:pt x="38100" y="361950"/>
                </a:lnTo>
                <a:lnTo>
                  <a:pt x="219075" y="514350"/>
                </a:ln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883920</xdr:colOff>
          <xdr:row>4</xdr:row>
          <xdr:rowOff>38100</xdr:rowOff>
        </xdr:from>
        <xdr:to>
          <xdr:col>5</xdr:col>
          <xdr:colOff>388620</xdr:colOff>
          <xdr:row>5</xdr:row>
          <xdr:rowOff>7620</xdr:rowOff>
        </xdr:to>
        <xdr:sp macro="" textlink="">
          <xdr:nvSpPr>
            <xdr:cNvPr id="4104" name="Drop Dow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323021</xdr:colOff>
      <xdr:row>5</xdr:row>
      <xdr:rowOff>133350</xdr:rowOff>
    </xdr:from>
    <xdr:to>
      <xdr:col>5</xdr:col>
      <xdr:colOff>601339</xdr:colOff>
      <xdr:row>23</xdr:row>
      <xdr:rowOff>71644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2822381" y="803910"/>
          <a:ext cx="6069518" cy="3275854"/>
          <a:chOff x="1516960" y="1618836"/>
          <a:chExt cx="4504179" cy="2600325"/>
        </a:xfrm>
      </xdr:grpSpPr>
      <xdr:sp macro="" textlink="">
        <xdr:nvSpPr>
          <xdr:cNvPr id="437" name="Freeform 110">
            <a:extLst>
              <a:ext uri="{FF2B5EF4-FFF2-40B4-BE49-F238E27FC236}">
                <a16:creationId xmlns:a16="http://schemas.microsoft.com/office/drawing/2014/main" id="{00000000-0008-0000-0100-0000B5010000}"/>
              </a:ext>
            </a:extLst>
          </xdr:cNvPr>
          <xdr:cNvSpPr>
            <a:spLocks/>
          </xdr:cNvSpPr>
        </xdr:nvSpPr>
        <xdr:spPr bwMode="auto">
          <a:xfrm>
            <a:off x="1836328" y="1647411"/>
            <a:ext cx="9525" cy="14007"/>
          </a:xfrm>
          <a:custGeom>
            <a:avLst/>
            <a:gdLst>
              <a:gd name="T0" fmla="*/ 4 w 7"/>
              <a:gd name="T1" fmla="*/ 1 h 12"/>
              <a:gd name="T2" fmla="*/ 7 w 7"/>
              <a:gd name="T3" fmla="*/ 7 h 12"/>
              <a:gd name="T4" fmla="*/ 6 w 7"/>
              <a:gd name="T5" fmla="*/ 12 h 12"/>
              <a:gd name="T6" fmla="*/ 2 w 7"/>
              <a:gd name="T7" fmla="*/ 12 h 12"/>
              <a:gd name="T8" fmla="*/ 0 w 7"/>
              <a:gd name="T9" fmla="*/ 7 h 12"/>
              <a:gd name="T10" fmla="*/ 2 w 7"/>
              <a:gd name="T11" fmla="*/ 0 h 12"/>
              <a:gd name="T12" fmla="*/ 4 w 7"/>
              <a:gd name="T13" fmla="*/ 1 h 12"/>
              <a:gd name="T14" fmla="*/ 4 w 7"/>
              <a:gd name="T15" fmla="*/ 1 h 12"/>
              <a:gd name="T16" fmla="*/ 4 w 7"/>
              <a:gd name="T17" fmla="*/ 1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7" h="12">
                <a:moveTo>
                  <a:pt x="4" y="1"/>
                </a:moveTo>
                <a:lnTo>
                  <a:pt x="7" y="7"/>
                </a:lnTo>
                <a:lnTo>
                  <a:pt x="6" y="12"/>
                </a:lnTo>
                <a:lnTo>
                  <a:pt x="2" y="12"/>
                </a:lnTo>
                <a:lnTo>
                  <a:pt x="0" y="7"/>
                </a:lnTo>
                <a:lnTo>
                  <a:pt x="2" y="0"/>
                </a:lnTo>
                <a:lnTo>
                  <a:pt x="4" y="1"/>
                </a:lnTo>
                <a:lnTo>
                  <a:pt x="4" y="1"/>
                </a:lnTo>
                <a:lnTo>
                  <a:pt x="4" y="1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438" name="Freeform 111">
            <a:extLst>
              <a:ext uri="{FF2B5EF4-FFF2-40B4-BE49-F238E27FC236}">
                <a16:creationId xmlns:a16="http://schemas.microsoft.com/office/drawing/2014/main" id="{00000000-0008-0000-0100-0000B6010000}"/>
              </a:ext>
            </a:extLst>
          </xdr:cNvPr>
          <xdr:cNvSpPr>
            <a:spLocks/>
          </xdr:cNvSpPr>
        </xdr:nvSpPr>
        <xdr:spPr bwMode="auto">
          <a:xfrm>
            <a:off x="1855378" y="1647411"/>
            <a:ext cx="9525" cy="4482"/>
          </a:xfrm>
          <a:custGeom>
            <a:avLst/>
            <a:gdLst>
              <a:gd name="T0" fmla="*/ 4 w 8"/>
              <a:gd name="T1" fmla="*/ 0 h 9"/>
              <a:gd name="T2" fmla="*/ 2 w 8"/>
              <a:gd name="T3" fmla="*/ 0 h 9"/>
              <a:gd name="T4" fmla="*/ 0 w 8"/>
              <a:gd name="T5" fmla="*/ 5 h 9"/>
              <a:gd name="T6" fmla="*/ 3 w 8"/>
              <a:gd name="T7" fmla="*/ 9 h 9"/>
              <a:gd name="T8" fmla="*/ 4 w 8"/>
              <a:gd name="T9" fmla="*/ 4 h 9"/>
              <a:gd name="T10" fmla="*/ 6 w 8"/>
              <a:gd name="T11" fmla="*/ 9 h 9"/>
              <a:gd name="T12" fmla="*/ 8 w 8"/>
              <a:gd name="T13" fmla="*/ 4 h 9"/>
              <a:gd name="T14" fmla="*/ 4 w 8"/>
              <a:gd name="T15" fmla="*/ 0 h 9"/>
              <a:gd name="T16" fmla="*/ 4 w 8"/>
              <a:gd name="T17" fmla="*/ 0 h 9"/>
              <a:gd name="T18" fmla="*/ 4 w 8"/>
              <a:gd name="T19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8" h="9">
                <a:moveTo>
                  <a:pt x="4" y="0"/>
                </a:moveTo>
                <a:lnTo>
                  <a:pt x="2" y="0"/>
                </a:lnTo>
                <a:lnTo>
                  <a:pt x="0" y="5"/>
                </a:lnTo>
                <a:lnTo>
                  <a:pt x="3" y="9"/>
                </a:lnTo>
                <a:lnTo>
                  <a:pt x="4" y="4"/>
                </a:lnTo>
                <a:lnTo>
                  <a:pt x="6" y="9"/>
                </a:lnTo>
                <a:lnTo>
                  <a:pt x="8" y="4"/>
                </a:lnTo>
                <a:lnTo>
                  <a:pt x="4" y="0"/>
                </a:lnTo>
                <a:lnTo>
                  <a:pt x="4" y="0"/>
                </a:lnTo>
                <a:lnTo>
                  <a:pt x="4" y="0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439" name="Freeform 112">
            <a:extLst>
              <a:ext uri="{FF2B5EF4-FFF2-40B4-BE49-F238E27FC236}">
                <a16:creationId xmlns:a16="http://schemas.microsoft.com/office/drawing/2014/main" id="{00000000-0008-0000-0100-0000B7010000}"/>
              </a:ext>
            </a:extLst>
          </xdr:cNvPr>
          <xdr:cNvSpPr>
            <a:spLocks/>
          </xdr:cNvSpPr>
        </xdr:nvSpPr>
        <xdr:spPr bwMode="auto">
          <a:xfrm>
            <a:off x="1855378" y="1680468"/>
            <a:ext cx="28575" cy="47625"/>
          </a:xfrm>
          <a:custGeom>
            <a:avLst/>
            <a:gdLst>
              <a:gd name="T0" fmla="*/ 10 w 14"/>
              <a:gd name="T1" fmla="*/ 0 h 41"/>
              <a:gd name="T2" fmla="*/ 9 w 14"/>
              <a:gd name="T3" fmla="*/ 0 h 41"/>
              <a:gd name="T4" fmla="*/ 5 w 14"/>
              <a:gd name="T5" fmla="*/ 4 h 41"/>
              <a:gd name="T6" fmla="*/ 0 w 14"/>
              <a:gd name="T7" fmla="*/ 10 h 41"/>
              <a:gd name="T8" fmla="*/ 2 w 14"/>
              <a:gd name="T9" fmla="*/ 16 h 41"/>
              <a:gd name="T10" fmla="*/ 5 w 14"/>
              <a:gd name="T11" fmla="*/ 21 h 41"/>
              <a:gd name="T12" fmla="*/ 5 w 14"/>
              <a:gd name="T13" fmla="*/ 28 h 41"/>
              <a:gd name="T14" fmla="*/ 6 w 14"/>
              <a:gd name="T15" fmla="*/ 33 h 41"/>
              <a:gd name="T16" fmla="*/ 9 w 14"/>
              <a:gd name="T17" fmla="*/ 38 h 41"/>
              <a:gd name="T18" fmla="*/ 9 w 14"/>
              <a:gd name="T19" fmla="*/ 41 h 41"/>
              <a:gd name="T20" fmla="*/ 14 w 14"/>
              <a:gd name="T21" fmla="*/ 38 h 41"/>
              <a:gd name="T22" fmla="*/ 13 w 14"/>
              <a:gd name="T23" fmla="*/ 33 h 41"/>
              <a:gd name="T24" fmla="*/ 11 w 14"/>
              <a:gd name="T25" fmla="*/ 28 h 41"/>
              <a:gd name="T26" fmla="*/ 7 w 14"/>
              <a:gd name="T27" fmla="*/ 28 h 41"/>
              <a:gd name="T28" fmla="*/ 7 w 14"/>
              <a:gd name="T29" fmla="*/ 17 h 41"/>
              <a:gd name="T30" fmla="*/ 3 w 14"/>
              <a:gd name="T31" fmla="*/ 10 h 41"/>
              <a:gd name="T32" fmla="*/ 7 w 14"/>
              <a:gd name="T33" fmla="*/ 6 h 41"/>
              <a:gd name="T34" fmla="*/ 12 w 14"/>
              <a:gd name="T35" fmla="*/ 5 h 41"/>
              <a:gd name="T36" fmla="*/ 10 w 14"/>
              <a:gd name="T37" fmla="*/ 0 h 41"/>
              <a:gd name="T38" fmla="*/ 10 w 14"/>
              <a:gd name="T39" fmla="*/ 0 h 41"/>
              <a:gd name="T40" fmla="*/ 10 w 14"/>
              <a:gd name="T4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</a:cxnLst>
            <a:rect l="0" t="0" r="r" b="b"/>
            <a:pathLst>
              <a:path w="14" h="41">
                <a:moveTo>
                  <a:pt x="10" y="0"/>
                </a:moveTo>
                <a:lnTo>
                  <a:pt x="9" y="0"/>
                </a:lnTo>
                <a:lnTo>
                  <a:pt x="5" y="4"/>
                </a:lnTo>
                <a:lnTo>
                  <a:pt x="0" y="10"/>
                </a:lnTo>
                <a:lnTo>
                  <a:pt x="2" y="16"/>
                </a:lnTo>
                <a:lnTo>
                  <a:pt x="5" y="21"/>
                </a:lnTo>
                <a:lnTo>
                  <a:pt x="5" y="28"/>
                </a:lnTo>
                <a:lnTo>
                  <a:pt x="6" y="33"/>
                </a:lnTo>
                <a:lnTo>
                  <a:pt x="9" y="38"/>
                </a:lnTo>
                <a:lnTo>
                  <a:pt x="9" y="41"/>
                </a:lnTo>
                <a:lnTo>
                  <a:pt x="14" y="38"/>
                </a:lnTo>
                <a:lnTo>
                  <a:pt x="13" y="33"/>
                </a:lnTo>
                <a:lnTo>
                  <a:pt x="11" y="28"/>
                </a:lnTo>
                <a:lnTo>
                  <a:pt x="7" y="28"/>
                </a:lnTo>
                <a:lnTo>
                  <a:pt x="7" y="17"/>
                </a:lnTo>
                <a:lnTo>
                  <a:pt x="3" y="10"/>
                </a:lnTo>
                <a:lnTo>
                  <a:pt x="7" y="6"/>
                </a:lnTo>
                <a:lnTo>
                  <a:pt x="12" y="5"/>
                </a:lnTo>
                <a:lnTo>
                  <a:pt x="10" y="0"/>
                </a:lnTo>
                <a:lnTo>
                  <a:pt x="10" y="0"/>
                </a:lnTo>
                <a:lnTo>
                  <a:pt x="10" y="0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442" name="Freeform 115">
            <a:extLst>
              <a:ext uri="{FF2B5EF4-FFF2-40B4-BE49-F238E27FC236}">
                <a16:creationId xmlns:a16="http://schemas.microsoft.com/office/drawing/2014/main" id="{00000000-0008-0000-0100-0000BA010000}"/>
              </a:ext>
            </a:extLst>
          </xdr:cNvPr>
          <xdr:cNvSpPr>
            <a:spLocks/>
          </xdr:cNvSpPr>
        </xdr:nvSpPr>
        <xdr:spPr bwMode="auto">
          <a:xfrm>
            <a:off x="1621735" y="2132065"/>
            <a:ext cx="0" cy="9525"/>
          </a:xfrm>
          <a:custGeom>
            <a:avLst/>
            <a:gdLst>
              <a:gd name="T0" fmla="*/ 2 h 2"/>
              <a:gd name="T1" fmla="*/ 2 h 2"/>
              <a:gd name="T2" fmla="*/ 0 h 2"/>
              <a:gd name="T3" fmla="*/ 2 h 2"/>
              <a:gd name="T4" fmla="*/ 2 h 2"/>
              <a:gd name="T5" fmla="*/ 2 h 2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  <a:cxn ang="0">
                <a:pos x="0" y="T3"/>
              </a:cxn>
              <a:cxn ang="0">
                <a:pos x="0" y="T4"/>
              </a:cxn>
              <a:cxn ang="0">
                <a:pos x="0" y="T5"/>
              </a:cxn>
            </a:cxnLst>
            <a:rect l="0" t="0" r="r" b="b"/>
            <a:pathLst>
              <a:path h="2">
                <a:moveTo>
                  <a:pt x="0" y="2"/>
                </a:moveTo>
                <a:lnTo>
                  <a:pt x="0" y="2"/>
                </a:lnTo>
                <a:lnTo>
                  <a:pt x="0" y="0"/>
                </a:lnTo>
                <a:lnTo>
                  <a:pt x="0" y="2"/>
                </a:lnTo>
                <a:lnTo>
                  <a:pt x="0" y="2"/>
                </a:lnTo>
                <a:lnTo>
                  <a:pt x="0" y="2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443" name="Freeform 116">
            <a:extLst>
              <a:ext uri="{FF2B5EF4-FFF2-40B4-BE49-F238E27FC236}">
                <a16:creationId xmlns:a16="http://schemas.microsoft.com/office/drawing/2014/main" id="{00000000-0008-0000-0100-0000BB010000}"/>
              </a:ext>
            </a:extLst>
          </xdr:cNvPr>
          <xdr:cNvSpPr>
            <a:spLocks/>
          </xdr:cNvSpPr>
        </xdr:nvSpPr>
        <xdr:spPr bwMode="auto">
          <a:xfrm>
            <a:off x="1774135" y="2284465"/>
            <a:ext cx="0" cy="9525"/>
          </a:xfrm>
          <a:custGeom>
            <a:avLst/>
            <a:gdLst>
              <a:gd name="T0" fmla="*/ 0 w 2"/>
              <a:gd name="T1" fmla="*/ 0 h 4"/>
              <a:gd name="T2" fmla="*/ 1 w 2"/>
              <a:gd name="T3" fmla="*/ 4 h 4"/>
              <a:gd name="T4" fmla="*/ 2 w 2"/>
              <a:gd name="T5" fmla="*/ 0 h 4"/>
              <a:gd name="T6" fmla="*/ 0 w 2"/>
              <a:gd name="T7" fmla="*/ 0 h 4"/>
              <a:gd name="T8" fmla="*/ 0 w 2"/>
              <a:gd name="T9" fmla="*/ 0 h 4"/>
              <a:gd name="T10" fmla="*/ 0 w 2"/>
              <a:gd name="T11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1" y="4"/>
                </a:lnTo>
                <a:lnTo>
                  <a:pt x="2" y="0"/>
                </a:ln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459" name="Freeform 132">
            <a:extLst>
              <a:ext uri="{FF2B5EF4-FFF2-40B4-BE49-F238E27FC236}">
                <a16:creationId xmlns:a16="http://schemas.microsoft.com/office/drawing/2014/main" id="{00000000-0008-0000-0100-0000CB010000}"/>
              </a:ext>
            </a:extLst>
          </xdr:cNvPr>
          <xdr:cNvSpPr>
            <a:spLocks/>
          </xdr:cNvSpPr>
        </xdr:nvSpPr>
        <xdr:spPr bwMode="auto">
          <a:xfrm>
            <a:off x="4109708" y="3824714"/>
            <a:ext cx="28575" cy="19050"/>
          </a:xfrm>
          <a:custGeom>
            <a:avLst/>
            <a:gdLst>
              <a:gd name="T0" fmla="*/ 18 w 18"/>
              <a:gd name="T1" fmla="*/ 7 h 13"/>
              <a:gd name="T2" fmla="*/ 18 w 18"/>
              <a:gd name="T3" fmla="*/ 5 h 13"/>
              <a:gd name="T4" fmla="*/ 17 w 18"/>
              <a:gd name="T5" fmla="*/ 4 h 13"/>
              <a:gd name="T6" fmla="*/ 8 w 18"/>
              <a:gd name="T7" fmla="*/ 0 h 13"/>
              <a:gd name="T8" fmla="*/ 0 w 18"/>
              <a:gd name="T9" fmla="*/ 4 h 13"/>
              <a:gd name="T10" fmla="*/ 2 w 18"/>
              <a:gd name="T11" fmla="*/ 8 h 13"/>
              <a:gd name="T12" fmla="*/ 7 w 18"/>
              <a:gd name="T13" fmla="*/ 9 h 13"/>
              <a:gd name="T14" fmla="*/ 11 w 18"/>
              <a:gd name="T15" fmla="*/ 13 h 13"/>
              <a:gd name="T16" fmla="*/ 15 w 18"/>
              <a:gd name="T17" fmla="*/ 12 h 13"/>
              <a:gd name="T18" fmla="*/ 18 w 18"/>
              <a:gd name="T19" fmla="*/ 7 h 13"/>
              <a:gd name="T20" fmla="*/ 18 w 18"/>
              <a:gd name="T21" fmla="*/ 7 h 13"/>
              <a:gd name="T22" fmla="*/ 18 w 18"/>
              <a:gd name="T23" fmla="*/ 7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18" h="13">
                <a:moveTo>
                  <a:pt x="18" y="7"/>
                </a:moveTo>
                <a:lnTo>
                  <a:pt x="18" y="5"/>
                </a:lnTo>
                <a:lnTo>
                  <a:pt x="17" y="4"/>
                </a:lnTo>
                <a:lnTo>
                  <a:pt x="8" y="0"/>
                </a:lnTo>
                <a:lnTo>
                  <a:pt x="0" y="4"/>
                </a:lnTo>
                <a:lnTo>
                  <a:pt x="2" y="8"/>
                </a:lnTo>
                <a:lnTo>
                  <a:pt x="7" y="9"/>
                </a:lnTo>
                <a:lnTo>
                  <a:pt x="11" y="13"/>
                </a:lnTo>
                <a:lnTo>
                  <a:pt x="15" y="12"/>
                </a:lnTo>
                <a:lnTo>
                  <a:pt x="18" y="7"/>
                </a:lnTo>
                <a:lnTo>
                  <a:pt x="18" y="7"/>
                </a:lnTo>
                <a:lnTo>
                  <a:pt x="18" y="7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460" name="Freeform 133">
            <a:extLst>
              <a:ext uri="{FF2B5EF4-FFF2-40B4-BE49-F238E27FC236}">
                <a16:creationId xmlns:a16="http://schemas.microsoft.com/office/drawing/2014/main" id="{00000000-0008-0000-0100-0000CC010000}"/>
              </a:ext>
            </a:extLst>
          </xdr:cNvPr>
          <xdr:cNvSpPr>
            <a:spLocks/>
          </xdr:cNvSpPr>
        </xdr:nvSpPr>
        <xdr:spPr bwMode="auto">
          <a:xfrm>
            <a:off x="4176383" y="3848246"/>
            <a:ext cx="19050" cy="9525"/>
          </a:xfrm>
          <a:custGeom>
            <a:avLst/>
            <a:gdLst>
              <a:gd name="T0" fmla="*/ 9 w 9"/>
              <a:gd name="T1" fmla="*/ 11 h 12"/>
              <a:gd name="T2" fmla="*/ 8 w 9"/>
              <a:gd name="T3" fmla="*/ 5 h 12"/>
              <a:gd name="T4" fmla="*/ 4 w 9"/>
              <a:gd name="T5" fmla="*/ 0 h 12"/>
              <a:gd name="T6" fmla="*/ 0 w 9"/>
              <a:gd name="T7" fmla="*/ 5 h 12"/>
              <a:gd name="T8" fmla="*/ 0 w 9"/>
              <a:gd name="T9" fmla="*/ 8 h 12"/>
              <a:gd name="T10" fmla="*/ 4 w 9"/>
              <a:gd name="T11" fmla="*/ 12 h 12"/>
              <a:gd name="T12" fmla="*/ 8 w 9"/>
              <a:gd name="T13" fmla="*/ 12 h 12"/>
              <a:gd name="T14" fmla="*/ 9 w 9"/>
              <a:gd name="T15" fmla="*/ 11 h 12"/>
              <a:gd name="T16" fmla="*/ 9 w 9"/>
              <a:gd name="T17" fmla="*/ 11 h 12"/>
              <a:gd name="T18" fmla="*/ 9 w 9"/>
              <a:gd name="T19" fmla="*/ 11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9" h="12">
                <a:moveTo>
                  <a:pt x="9" y="11"/>
                </a:moveTo>
                <a:lnTo>
                  <a:pt x="8" y="5"/>
                </a:lnTo>
                <a:lnTo>
                  <a:pt x="4" y="0"/>
                </a:lnTo>
                <a:lnTo>
                  <a:pt x="0" y="5"/>
                </a:lnTo>
                <a:lnTo>
                  <a:pt x="0" y="8"/>
                </a:lnTo>
                <a:lnTo>
                  <a:pt x="4" y="12"/>
                </a:lnTo>
                <a:lnTo>
                  <a:pt x="8" y="12"/>
                </a:lnTo>
                <a:lnTo>
                  <a:pt x="9" y="11"/>
                </a:lnTo>
                <a:lnTo>
                  <a:pt x="9" y="11"/>
                </a:lnTo>
                <a:lnTo>
                  <a:pt x="9" y="11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461" name="Freeform 134">
            <a:extLst>
              <a:ext uri="{FF2B5EF4-FFF2-40B4-BE49-F238E27FC236}">
                <a16:creationId xmlns:a16="http://schemas.microsoft.com/office/drawing/2014/main" id="{00000000-0008-0000-0100-0000CD010000}"/>
              </a:ext>
            </a:extLst>
          </xdr:cNvPr>
          <xdr:cNvSpPr>
            <a:spLocks/>
          </xdr:cNvSpPr>
        </xdr:nvSpPr>
        <xdr:spPr bwMode="auto">
          <a:xfrm>
            <a:off x="5449639" y="2412773"/>
            <a:ext cx="152400" cy="90207"/>
          </a:xfrm>
          <a:custGeom>
            <a:avLst/>
            <a:gdLst>
              <a:gd name="T0" fmla="*/ 28 w 92"/>
              <a:gd name="T1" fmla="*/ 60 h 76"/>
              <a:gd name="T2" fmla="*/ 30 w 92"/>
              <a:gd name="T3" fmla="*/ 60 h 76"/>
              <a:gd name="T4" fmla="*/ 35 w 92"/>
              <a:gd name="T5" fmla="*/ 55 h 76"/>
              <a:gd name="T6" fmla="*/ 39 w 92"/>
              <a:gd name="T7" fmla="*/ 52 h 76"/>
              <a:gd name="T8" fmla="*/ 48 w 92"/>
              <a:gd name="T9" fmla="*/ 46 h 76"/>
              <a:gd name="T10" fmla="*/ 52 w 92"/>
              <a:gd name="T11" fmla="*/ 44 h 76"/>
              <a:gd name="T12" fmla="*/ 56 w 92"/>
              <a:gd name="T13" fmla="*/ 39 h 76"/>
              <a:gd name="T14" fmla="*/ 60 w 92"/>
              <a:gd name="T15" fmla="*/ 39 h 76"/>
              <a:gd name="T16" fmla="*/ 69 w 92"/>
              <a:gd name="T17" fmla="*/ 31 h 76"/>
              <a:gd name="T18" fmla="*/ 69 w 92"/>
              <a:gd name="T19" fmla="*/ 27 h 76"/>
              <a:gd name="T20" fmla="*/ 74 w 92"/>
              <a:gd name="T21" fmla="*/ 26 h 76"/>
              <a:gd name="T22" fmla="*/ 82 w 92"/>
              <a:gd name="T23" fmla="*/ 16 h 76"/>
              <a:gd name="T24" fmla="*/ 86 w 92"/>
              <a:gd name="T25" fmla="*/ 12 h 76"/>
              <a:gd name="T26" fmla="*/ 92 w 92"/>
              <a:gd name="T27" fmla="*/ 3 h 76"/>
              <a:gd name="T28" fmla="*/ 87 w 92"/>
              <a:gd name="T29" fmla="*/ 7 h 76"/>
              <a:gd name="T30" fmla="*/ 83 w 92"/>
              <a:gd name="T31" fmla="*/ 10 h 76"/>
              <a:gd name="T32" fmla="*/ 82 w 92"/>
              <a:gd name="T33" fmla="*/ 8 h 76"/>
              <a:gd name="T34" fmla="*/ 78 w 92"/>
              <a:gd name="T35" fmla="*/ 10 h 76"/>
              <a:gd name="T36" fmla="*/ 74 w 92"/>
              <a:gd name="T37" fmla="*/ 12 h 76"/>
              <a:gd name="T38" fmla="*/ 69 w 92"/>
              <a:gd name="T39" fmla="*/ 24 h 76"/>
              <a:gd name="T40" fmla="*/ 66 w 92"/>
              <a:gd name="T41" fmla="*/ 26 h 76"/>
              <a:gd name="T42" fmla="*/ 62 w 92"/>
              <a:gd name="T43" fmla="*/ 26 h 76"/>
              <a:gd name="T44" fmla="*/ 65 w 92"/>
              <a:gd name="T45" fmla="*/ 20 h 76"/>
              <a:gd name="T46" fmla="*/ 69 w 92"/>
              <a:gd name="T47" fmla="*/ 16 h 76"/>
              <a:gd name="T48" fmla="*/ 69 w 92"/>
              <a:gd name="T49" fmla="*/ 10 h 76"/>
              <a:gd name="T50" fmla="*/ 73 w 92"/>
              <a:gd name="T51" fmla="*/ 0 h 76"/>
              <a:gd name="T52" fmla="*/ 61 w 92"/>
              <a:gd name="T53" fmla="*/ 20 h 76"/>
              <a:gd name="T54" fmla="*/ 52 w 92"/>
              <a:gd name="T55" fmla="*/ 26 h 76"/>
              <a:gd name="T56" fmla="*/ 40 w 92"/>
              <a:gd name="T57" fmla="*/ 28 h 76"/>
              <a:gd name="T58" fmla="*/ 36 w 92"/>
              <a:gd name="T59" fmla="*/ 31 h 76"/>
              <a:gd name="T60" fmla="*/ 34 w 92"/>
              <a:gd name="T61" fmla="*/ 36 h 76"/>
              <a:gd name="T62" fmla="*/ 30 w 92"/>
              <a:gd name="T63" fmla="*/ 36 h 76"/>
              <a:gd name="T64" fmla="*/ 22 w 92"/>
              <a:gd name="T65" fmla="*/ 42 h 76"/>
              <a:gd name="T66" fmla="*/ 18 w 92"/>
              <a:gd name="T67" fmla="*/ 42 h 76"/>
              <a:gd name="T68" fmla="*/ 14 w 92"/>
              <a:gd name="T69" fmla="*/ 46 h 76"/>
              <a:gd name="T70" fmla="*/ 14 w 92"/>
              <a:gd name="T71" fmla="*/ 51 h 76"/>
              <a:gd name="T72" fmla="*/ 10 w 92"/>
              <a:gd name="T73" fmla="*/ 50 h 76"/>
              <a:gd name="T74" fmla="*/ 9 w 92"/>
              <a:gd name="T75" fmla="*/ 55 h 76"/>
              <a:gd name="T76" fmla="*/ 2 w 92"/>
              <a:gd name="T77" fmla="*/ 62 h 76"/>
              <a:gd name="T78" fmla="*/ 0 w 92"/>
              <a:gd name="T79" fmla="*/ 68 h 76"/>
              <a:gd name="T80" fmla="*/ 0 w 92"/>
              <a:gd name="T81" fmla="*/ 74 h 76"/>
              <a:gd name="T82" fmla="*/ 1 w 92"/>
              <a:gd name="T83" fmla="*/ 75 h 76"/>
              <a:gd name="T84" fmla="*/ 10 w 92"/>
              <a:gd name="T85" fmla="*/ 72 h 76"/>
              <a:gd name="T86" fmla="*/ 5 w 92"/>
              <a:gd name="T87" fmla="*/ 76 h 76"/>
              <a:gd name="T88" fmla="*/ 14 w 92"/>
              <a:gd name="T89" fmla="*/ 71 h 76"/>
              <a:gd name="T90" fmla="*/ 28 w 92"/>
              <a:gd name="T91" fmla="*/ 60 h 76"/>
              <a:gd name="T92" fmla="*/ 28 w 92"/>
              <a:gd name="T93" fmla="*/ 60 h 76"/>
              <a:gd name="T94" fmla="*/ 28 w 92"/>
              <a:gd name="T95" fmla="*/ 6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</a:cxnLst>
            <a:rect l="0" t="0" r="r" b="b"/>
            <a:pathLst>
              <a:path w="92" h="76">
                <a:moveTo>
                  <a:pt x="28" y="60"/>
                </a:moveTo>
                <a:lnTo>
                  <a:pt x="30" y="60"/>
                </a:lnTo>
                <a:lnTo>
                  <a:pt x="35" y="55"/>
                </a:lnTo>
                <a:lnTo>
                  <a:pt x="39" y="52"/>
                </a:lnTo>
                <a:lnTo>
                  <a:pt x="48" y="46"/>
                </a:lnTo>
                <a:lnTo>
                  <a:pt x="52" y="44"/>
                </a:lnTo>
                <a:lnTo>
                  <a:pt x="56" y="39"/>
                </a:lnTo>
                <a:lnTo>
                  <a:pt x="60" y="39"/>
                </a:lnTo>
                <a:lnTo>
                  <a:pt x="69" y="31"/>
                </a:lnTo>
                <a:lnTo>
                  <a:pt x="69" y="27"/>
                </a:lnTo>
                <a:lnTo>
                  <a:pt x="74" y="26"/>
                </a:lnTo>
                <a:lnTo>
                  <a:pt x="82" y="16"/>
                </a:lnTo>
                <a:lnTo>
                  <a:pt x="86" y="12"/>
                </a:lnTo>
                <a:lnTo>
                  <a:pt x="92" y="3"/>
                </a:lnTo>
                <a:lnTo>
                  <a:pt x="87" y="7"/>
                </a:lnTo>
                <a:lnTo>
                  <a:pt x="83" y="10"/>
                </a:lnTo>
                <a:lnTo>
                  <a:pt x="82" y="8"/>
                </a:lnTo>
                <a:lnTo>
                  <a:pt x="78" y="10"/>
                </a:lnTo>
                <a:lnTo>
                  <a:pt x="74" y="12"/>
                </a:lnTo>
                <a:lnTo>
                  <a:pt x="69" y="24"/>
                </a:lnTo>
                <a:lnTo>
                  <a:pt x="66" y="26"/>
                </a:lnTo>
                <a:lnTo>
                  <a:pt x="62" y="26"/>
                </a:lnTo>
                <a:lnTo>
                  <a:pt x="65" y="20"/>
                </a:lnTo>
                <a:lnTo>
                  <a:pt x="69" y="16"/>
                </a:lnTo>
                <a:lnTo>
                  <a:pt x="69" y="10"/>
                </a:lnTo>
                <a:lnTo>
                  <a:pt x="73" y="0"/>
                </a:lnTo>
                <a:lnTo>
                  <a:pt x="61" y="20"/>
                </a:lnTo>
                <a:lnTo>
                  <a:pt x="52" y="26"/>
                </a:lnTo>
                <a:lnTo>
                  <a:pt x="40" y="28"/>
                </a:lnTo>
                <a:lnTo>
                  <a:pt x="36" y="31"/>
                </a:lnTo>
                <a:lnTo>
                  <a:pt x="34" y="36"/>
                </a:lnTo>
                <a:lnTo>
                  <a:pt x="30" y="36"/>
                </a:lnTo>
                <a:lnTo>
                  <a:pt x="22" y="42"/>
                </a:lnTo>
                <a:lnTo>
                  <a:pt x="18" y="42"/>
                </a:lnTo>
                <a:lnTo>
                  <a:pt x="14" y="46"/>
                </a:lnTo>
                <a:lnTo>
                  <a:pt x="14" y="51"/>
                </a:lnTo>
                <a:lnTo>
                  <a:pt x="10" y="50"/>
                </a:lnTo>
                <a:lnTo>
                  <a:pt x="9" y="55"/>
                </a:lnTo>
                <a:lnTo>
                  <a:pt x="2" y="62"/>
                </a:lnTo>
                <a:lnTo>
                  <a:pt x="0" y="68"/>
                </a:lnTo>
                <a:lnTo>
                  <a:pt x="0" y="74"/>
                </a:lnTo>
                <a:lnTo>
                  <a:pt x="1" y="75"/>
                </a:lnTo>
                <a:lnTo>
                  <a:pt x="10" y="72"/>
                </a:lnTo>
                <a:lnTo>
                  <a:pt x="5" y="76"/>
                </a:lnTo>
                <a:lnTo>
                  <a:pt x="14" y="71"/>
                </a:lnTo>
                <a:lnTo>
                  <a:pt x="28" y="60"/>
                </a:lnTo>
                <a:lnTo>
                  <a:pt x="28" y="60"/>
                </a:lnTo>
                <a:lnTo>
                  <a:pt x="28" y="60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462" name="Freeform 135">
            <a:extLst>
              <a:ext uri="{FF2B5EF4-FFF2-40B4-BE49-F238E27FC236}">
                <a16:creationId xmlns:a16="http://schemas.microsoft.com/office/drawing/2014/main" id="{00000000-0008-0000-0100-0000CE010000}"/>
              </a:ext>
            </a:extLst>
          </xdr:cNvPr>
          <xdr:cNvSpPr>
            <a:spLocks/>
          </xdr:cNvSpPr>
        </xdr:nvSpPr>
        <xdr:spPr bwMode="auto">
          <a:xfrm>
            <a:off x="5459164" y="2588705"/>
            <a:ext cx="9525" cy="23532"/>
          </a:xfrm>
          <a:custGeom>
            <a:avLst/>
            <a:gdLst>
              <a:gd name="T0" fmla="*/ 0 w 3"/>
              <a:gd name="T1" fmla="*/ 17 h 17"/>
              <a:gd name="T2" fmla="*/ 3 w 3"/>
              <a:gd name="T3" fmla="*/ 5 h 17"/>
              <a:gd name="T4" fmla="*/ 3 w 3"/>
              <a:gd name="T5" fmla="*/ 0 h 17"/>
              <a:gd name="T6" fmla="*/ 0 w 3"/>
              <a:gd name="T7" fmla="*/ 17 h 17"/>
              <a:gd name="T8" fmla="*/ 0 w 3"/>
              <a:gd name="T9" fmla="*/ 17 h 17"/>
              <a:gd name="T10" fmla="*/ 0 w 3"/>
              <a:gd name="T11" fmla="*/ 17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" h="17">
                <a:moveTo>
                  <a:pt x="0" y="17"/>
                </a:moveTo>
                <a:lnTo>
                  <a:pt x="3" y="5"/>
                </a:lnTo>
                <a:lnTo>
                  <a:pt x="3" y="0"/>
                </a:lnTo>
                <a:lnTo>
                  <a:pt x="0" y="17"/>
                </a:lnTo>
                <a:lnTo>
                  <a:pt x="0" y="17"/>
                </a:lnTo>
                <a:lnTo>
                  <a:pt x="0" y="17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463" name="Freeform 136">
            <a:extLst>
              <a:ext uri="{FF2B5EF4-FFF2-40B4-BE49-F238E27FC236}">
                <a16:creationId xmlns:a16="http://schemas.microsoft.com/office/drawing/2014/main" id="{00000000-0008-0000-0100-0000CF010000}"/>
              </a:ext>
            </a:extLst>
          </xdr:cNvPr>
          <xdr:cNvSpPr>
            <a:spLocks/>
          </xdr:cNvSpPr>
        </xdr:nvSpPr>
        <xdr:spPr bwMode="auto">
          <a:xfrm>
            <a:off x="5735389" y="2346098"/>
            <a:ext cx="9525" cy="9525"/>
          </a:xfrm>
          <a:custGeom>
            <a:avLst/>
            <a:gdLst>
              <a:gd name="T0" fmla="*/ 8 w 10"/>
              <a:gd name="T1" fmla="*/ 10 h 12"/>
              <a:gd name="T2" fmla="*/ 10 w 10"/>
              <a:gd name="T3" fmla="*/ 8 h 12"/>
              <a:gd name="T4" fmla="*/ 7 w 10"/>
              <a:gd name="T5" fmla="*/ 3 h 12"/>
              <a:gd name="T6" fmla="*/ 4 w 10"/>
              <a:gd name="T7" fmla="*/ 0 h 12"/>
              <a:gd name="T8" fmla="*/ 5 w 10"/>
              <a:gd name="T9" fmla="*/ 2 h 12"/>
              <a:gd name="T10" fmla="*/ 4 w 10"/>
              <a:gd name="T11" fmla="*/ 7 h 12"/>
              <a:gd name="T12" fmla="*/ 0 w 10"/>
              <a:gd name="T13" fmla="*/ 12 h 12"/>
              <a:gd name="T14" fmla="*/ 8 w 10"/>
              <a:gd name="T15" fmla="*/ 10 h 12"/>
              <a:gd name="T16" fmla="*/ 8 w 10"/>
              <a:gd name="T17" fmla="*/ 10 h 12"/>
              <a:gd name="T18" fmla="*/ 8 w 10"/>
              <a:gd name="T19" fmla="*/ 1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10" h="12">
                <a:moveTo>
                  <a:pt x="8" y="10"/>
                </a:moveTo>
                <a:lnTo>
                  <a:pt x="10" y="8"/>
                </a:lnTo>
                <a:lnTo>
                  <a:pt x="7" y="3"/>
                </a:lnTo>
                <a:lnTo>
                  <a:pt x="4" y="0"/>
                </a:lnTo>
                <a:lnTo>
                  <a:pt x="5" y="2"/>
                </a:lnTo>
                <a:lnTo>
                  <a:pt x="4" y="7"/>
                </a:lnTo>
                <a:lnTo>
                  <a:pt x="0" y="12"/>
                </a:lnTo>
                <a:lnTo>
                  <a:pt x="8" y="10"/>
                </a:lnTo>
                <a:lnTo>
                  <a:pt x="8" y="10"/>
                </a:lnTo>
                <a:lnTo>
                  <a:pt x="8" y="10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464" name="Freeform 137">
            <a:extLst>
              <a:ext uri="{FF2B5EF4-FFF2-40B4-BE49-F238E27FC236}">
                <a16:creationId xmlns:a16="http://schemas.microsoft.com/office/drawing/2014/main" id="{00000000-0008-0000-0100-0000D0010000}"/>
              </a:ext>
            </a:extLst>
          </xdr:cNvPr>
          <xdr:cNvSpPr>
            <a:spLocks/>
          </xdr:cNvSpPr>
        </xdr:nvSpPr>
        <xdr:spPr bwMode="auto">
          <a:xfrm>
            <a:off x="5763964" y="2003758"/>
            <a:ext cx="19050" cy="19050"/>
          </a:xfrm>
          <a:custGeom>
            <a:avLst/>
            <a:gdLst>
              <a:gd name="T0" fmla="*/ 6 w 10"/>
              <a:gd name="T1" fmla="*/ 0 h 16"/>
              <a:gd name="T2" fmla="*/ 4 w 10"/>
              <a:gd name="T3" fmla="*/ 0 h 16"/>
              <a:gd name="T4" fmla="*/ 0 w 10"/>
              <a:gd name="T5" fmla="*/ 10 h 16"/>
              <a:gd name="T6" fmla="*/ 1 w 10"/>
              <a:gd name="T7" fmla="*/ 16 h 16"/>
              <a:gd name="T8" fmla="*/ 9 w 10"/>
              <a:gd name="T9" fmla="*/ 10 h 16"/>
              <a:gd name="T10" fmla="*/ 10 w 10"/>
              <a:gd name="T11" fmla="*/ 4 h 16"/>
              <a:gd name="T12" fmla="*/ 6 w 10"/>
              <a:gd name="T13" fmla="*/ 0 h 16"/>
              <a:gd name="T14" fmla="*/ 6 w 10"/>
              <a:gd name="T15" fmla="*/ 0 h 16"/>
              <a:gd name="T16" fmla="*/ 6 w 10"/>
              <a:gd name="T17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" h="16">
                <a:moveTo>
                  <a:pt x="6" y="0"/>
                </a:moveTo>
                <a:lnTo>
                  <a:pt x="4" y="0"/>
                </a:lnTo>
                <a:lnTo>
                  <a:pt x="0" y="10"/>
                </a:lnTo>
                <a:lnTo>
                  <a:pt x="1" y="16"/>
                </a:lnTo>
                <a:lnTo>
                  <a:pt x="9" y="10"/>
                </a:lnTo>
                <a:lnTo>
                  <a:pt x="10" y="4"/>
                </a:lnTo>
                <a:lnTo>
                  <a:pt x="6" y="0"/>
                </a:lnTo>
                <a:lnTo>
                  <a:pt x="6" y="0"/>
                </a:lnTo>
                <a:lnTo>
                  <a:pt x="6" y="0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465" name="Freeform 138">
            <a:extLst>
              <a:ext uri="{FF2B5EF4-FFF2-40B4-BE49-F238E27FC236}">
                <a16:creationId xmlns:a16="http://schemas.microsoft.com/office/drawing/2014/main" id="{00000000-0008-0000-0100-0000D1010000}"/>
              </a:ext>
            </a:extLst>
          </xdr:cNvPr>
          <xdr:cNvSpPr>
            <a:spLocks/>
          </xdr:cNvSpPr>
        </xdr:nvSpPr>
        <xdr:spPr bwMode="auto">
          <a:xfrm>
            <a:off x="5868739" y="1932601"/>
            <a:ext cx="0" cy="28575"/>
          </a:xfrm>
          <a:custGeom>
            <a:avLst/>
            <a:gdLst>
              <a:gd name="T0" fmla="*/ 2 w 5"/>
              <a:gd name="T1" fmla="*/ 0 h 15"/>
              <a:gd name="T2" fmla="*/ 2 w 5"/>
              <a:gd name="T3" fmla="*/ 0 h 15"/>
              <a:gd name="T4" fmla="*/ 0 w 5"/>
              <a:gd name="T5" fmla="*/ 5 h 15"/>
              <a:gd name="T6" fmla="*/ 0 w 5"/>
              <a:gd name="T7" fmla="*/ 10 h 15"/>
              <a:gd name="T8" fmla="*/ 2 w 5"/>
              <a:gd name="T9" fmla="*/ 15 h 15"/>
              <a:gd name="T10" fmla="*/ 5 w 5"/>
              <a:gd name="T11" fmla="*/ 10 h 15"/>
              <a:gd name="T12" fmla="*/ 5 w 5"/>
              <a:gd name="T13" fmla="*/ 5 h 15"/>
              <a:gd name="T14" fmla="*/ 2 w 5"/>
              <a:gd name="T15" fmla="*/ 0 h 15"/>
              <a:gd name="T16" fmla="*/ 2 w 5"/>
              <a:gd name="T17" fmla="*/ 0 h 15"/>
              <a:gd name="T18" fmla="*/ 2 w 5"/>
              <a:gd name="T19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5" h="15">
                <a:moveTo>
                  <a:pt x="2" y="0"/>
                </a:moveTo>
                <a:lnTo>
                  <a:pt x="2" y="0"/>
                </a:lnTo>
                <a:lnTo>
                  <a:pt x="0" y="5"/>
                </a:lnTo>
                <a:lnTo>
                  <a:pt x="0" y="10"/>
                </a:lnTo>
                <a:lnTo>
                  <a:pt x="2" y="15"/>
                </a:lnTo>
                <a:lnTo>
                  <a:pt x="5" y="10"/>
                </a:lnTo>
                <a:lnTo>
                  <a:pt x="5" y="5"/>
                </a:lnTo>
                <a:lnTo>
                  <a:pt x="2" y="0"/>
                </a:lnTo>
                <a:lnTo>
                  <a:pt x="2" y="0"/>
                </a:lnTo>
                <a:lnTo>
                  <a:pt x="2" y="0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471" name="Freeform 144">
            <a:extLst>
              <a:ext uri="{FF2B5EF4-FFF2-40B4-BE49-F238E27FC236}">
                <a16:creationId xmlns:a16="http://schemas.microsoft.com/office/drawing/2014/main" id="{00000000-0008-0000-0100-0000D7010000}"/>
              </a:ext>
            </a:extLst>
          </xdr:cNvPr>
          <xdr:cNvSpPr>
            <a:spLocks/>
          </xdr:cNvSpPr>
        </xdr:nvSpPr>
        <xdr:spPr bwMode="auto">
          <a:xfrm>
            <a:off x="4109708" y="2051383"/>
            <a:ext cx="9525" cy="9525"/>
          </a:xfrm>
          <a:custGeom>
            <a:avLst/>
            <a:gdLst>
              <a:gd name="T0" fmla="*/ 8 w 8"/>
              <a:gd name="T1" fmla="*/ 0 h 10"/>
              <a:gd name="T2" fmla="*/ 6 w 8"/>
              <a:gd name="T3" fmla="*/ 1 h 10"/>
              <a:gd name="T4" fmla="*/ 3 w 8"/>
              <a:gd name="T5" fmla="*/ 5 h 10"/>
              <a:gd name="T6" fmla="*/ 0 w 8"/>
              <a:gd name="T7" fmla="*/ 10 h 10"/>
              <a:gd name="T8" fmla="*/ 8 w 8"/>
              <a:gd name="T9" fmla="*/ 0 h 10"/>
              <a:gd name="T10" fmla="*/ 8 w 8"/>
              <a:gd name="T11" fmla="*/ 0 h 10"/>
              <a:gd name="T12" fmla="*/ 8 w 8"/>
              <a:gd name="T13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8" h="10">
                <a:moveTo>
                  <a:pt x="8" y="0"/>
                </a:moveTo>
                <a:lnTo>
                  <a:pt x="6" y="1"/>
                </a:lnTo>
                <a:lnTo>
                  <a:pt x="3" y="5"/>
                </a:lnTo>
                <a:lnTo>
                  <a:pt x="0" y="10"/>
                </a:lnTo>
                <a:lnTo>
                  <a:pt x="8" y="0"/>
                </a:lnTo>
                <a:lnTo>
                  <a:pt x="8" y="0"/>
                </a:lnTo>
                <a:lnTo>
                  <a:pt x="8" y="0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472" name="Freeform 145">
            <a:extLst>
              <a:ext uri="{FF2B5EF4-FFF2-40B4-BE49-F238E27FC236}">
                <a16:creationId xmlns:a16="http://schemas.microsoft.com/office/drawing/2014/main" id="{00000000-0008-0000-0100-0000D8010000}"/>
              </a:ext>
            </a:extLst>
          </xdr:cNvPr>
          <xdr:cNvSpPr>
            <a:spLocks/>
          </xdr:cNvSpPr>
        </xdr:nvSpPr>
        <xdr:spPr bwMode="auto">
          <a:xfrm>
            <a:off x="4119233" y="2041858"/>
            <a:ext cx="0" cy="0"/>
          </a:xfrm>
          <a:custGeom>
            <a:avLst/>
            <a:gdLst>
              <a:gd name="T0" fmla="*/ 5 w 5"/>
              <a:gd name="T1" fmla="*/ 1 h 5"/>
              <a:gd name="T2" fmla="*/ 4 w 5"/>
              <a:gd name="T3" fmla="*/ 0 h 5"/>
              <a:gd name="T4" fmla="*/ 0 w 5"/>
              <a:gd name="T5" fmla="*/ 5 h 5"/>
              <a:gd name="T6" fmla="*/ 5 w 5"/>
              <a:gd name="T7" fmla="*/ 1 h 5"/>
              <a:gd name="T8" fmla="*/ 5 w 5"/>
              <a:gd name="T9" fmla="*/ 1 h 5"/>
              <a:gd name="T10" fmla="*/ 5 w 5"/>
              <a:gd name="T11" fmla="*/ 1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" h="5">
                <a:moveTo>
                  <a:pt x="5" y="1"/>
                </a:moveTo>
                <a:lnTo>
                  <a:pt x="4" y="0"/>
                </a:lnTo>
                <a:lnTo>
                  <a:pt x="0" y="5"/>
                </a:lnTo>
                <a:lnTo>
                  <a:pt x="5" y="1"/>
                </a:lnTo>
                <a:lnTo>
                  <a:pt x="5" y="1"/>
                </a:lnTo>
                <a:lnTo>
                  <a:pt x="5" y="1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473" name="Freeform 146">
            <a:extLst>
              <a:ext uri="{FF2B5EF4-FFF2-40B4-BE49-F238E27FC236}">
                <a16:creationId xmlns:a16="http://schemas.microsoft.com/office/drawing/2014/main" id="{00000000-0008-0000-0100-0000D9010000}"/>
              </a:ext>
            </a:extLst>
          </xdr:cNvPr>
          <xdr:cNvSpPr>
            <a:spLocks/>
          </xdr:cNvSpPr>
        </xdr:nvSpPr>
        <xdr:spPr bwMode="auto">
          <a:xfrm>
            <a:off x="4128758" y="2032333"/>
            <a:ext cx="9525" cy="0"/>
          </a:xfrm>
          <a:custGeom>
            <a:avLst/>
            <a:gdLst>
              <a:gd name="T0" fmla="*/ 2 w 2"/>
              <a:gd name="T1" fmla="*/ 2 h 7"/>
              <a:gd name="T2" fmla="*/ 0 w 2"/>
              <a:gd name="T3" fmla="*/ 0 h 7"/>
              <a:gd name="T4" fmla="*/ 1 w 2"/>
              <a:gd name="T5" fmla="*/ 7 h 7"/>
              <a:gd name="T6" fmla="*/ 2 w 2"/>
              <a:gd name="T7" fmla="*/ 2 h 7"/>
              <a:gd name="T8" fmla="*/ 2 w 2"/>
              <a:gd name="T9" fmla="*/ 2 h 7"/>
              <a:gd name="T10" fmla="*/ 2 w 2"/>
              <a:gd name="T11" fmla="*/ 2 h 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2" h="7">
                <a:moveTo>
                  <a:pt x="2" y="2"/>
                </a:moveTo>
                <a:lnTo>
                  <a:pt x="0" y="0"/>
                </a:lnTo>
                <a:lnTo>
                  <a:pt x="1" y="7"/>
                </a:lnTo>
                <a:lnTo>
                  <a:pt x="2" y="2"/>
                </a:lnTo>
                <a:lnTo>
                  <a:pt x="2" y="2"/>
                </a:lnTo>
                <a:lnTo>
                  <a:pt x="2" y="2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479" name="Freeform 152">
            <a:extLst>
              <a:ext uri="{FF2B5EF4-FFF2-40B4-BE49-F238E27FC236}">
                <a16:creationId xmlns:a16="http://schemas.microsoft.com/office/drawing/2014/main" id="{00000000-0008-0000-0100-0000DF010000}"/>
              </a:ext>
            </a:extLst>
          </xdr:cNvPr>
          <xdr:cNvSpPr>
            <a:spLocks/>
          </xdr:cNvSpPr>
        </xdr:nvSpPr>
        <xdr:spPr bwMode="auto">
          <a:xfrm>
            <a:off x="4495751" y="2132065"/>
            <a:ext cx="9525" cy="9525"/>
          </a:xfrm>
          <a:custGeom>
            <a:avLst/>
            <a:gdLst>
              <a:gd name="T0" fmla="*/ 3 w 4"/>
              <a:gd name="T1" fmla="*/ 1 h 13"/>
              <a:gd name="T2" fmla="*/ 4 w 4"/>
              <a:gd name="T3" fmla="*/ 0 h 13"/>
              <a:gd name="T4" fmla="*/ 1 w 4"/>
              <a:gd name="T5" fmla="*/ 2 h 13"/>
              <a:gd name="T6" fmla="*/ 0 w 4"/>
              <a:gd name="T7" fmla="*/ 8 h 13"/>
              <a:gd name="T8" fmla="*/ 0 w 4"/>
              <a:gd name="T9" fmla="*/ 13 h 13"/>
              <a:gd name="T10" fmla="*/ 4 w 4"/>
              <a:gd name="T11" fmla="*/ 12 h 13"/>
              <a:gd name="T12" fmla="*/ 3 w 4"/>
              <a:gd name="T13" fmla="*/ 1 h 13"/>
              <a:gd name="T14" fmla="*/ 3 w 4"/>
              <a:gd name="T15" fmla="*/ 1 h 13"/>
              <a:gd name="T16" fmla="*/ 3 w 4"/>
              <a:gd name="T17" fmla="*/ 1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4" h="13">
                <a:moveTo>
                  <a:pt x="3" y="1"/>
                </a:moveTo>
                <a:lnTo>
                  <a:pt x="4" y="0"/>
                </a:lnTo>
                <a:lnTo>
                  <a:pt x="1" y="2"/>
                </a:lnTo>
                <a:lnTo>
                  <a:pt x="0" y="8"/>
                </a:lnTo>
                <a:lnTo>
                  <a:pt x="0" y="13"/>
                </a:lnTo>
                <a:lnTo>
                  <a:pt x="4" y="12"/>
                </a:lnTo>
                <a:lnTo>
                  <a:pt x="3" y="1"/>
                </a:lnTo>
                <a:lnTo>
                  <a:pt x="3" y="1"/>
                </a:lnTo>
                <a:lnTo>
                  <a:pt x="3" y="1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486" name="Freeform 159">
            <a:extLst>
              <a:ext uri="{FF2B5EF4-FFF2-40B4-BE49-F238E27FC236}">
                <a16:creationId xmlns:a16="http://schemas.microsoft.com/office/drawing/2014/main" id="{00000000-0008-0000-0100-0000E6010000}"/>
              </a:ext>
            </a:extLst>
          </xdr:cNvPr>
          <xdr:cNvSpPr>
            <a:spLocks/>
          </xdr:cNvSpPr>
        </xdr:nvSpPr>
        <xdr:spPr bwMode="auto">
          <a:xfrm>
            <a:off x="4571951" y="2041858"/>
            <a:ext cx="0" cy="9525"/>
          </a:xfrm>
          <a:custGeom>
            <a:avLst/>
            <a:gdLst>
              <a:gd name="T0" fmla="*/ 0 w 3"/>
              <a:gd name="T1" fmla="*/ 2 h 2"/>
              <a:gd name="T2" fmla="*/ 3 w 3"/>
              <a:gd name="T3" fmla="*/ 0 h 2"/>
              <a:gd name="T4" fmla="*/ 1 w 3"/>
              <a:gd name="T5" fmla="*/ 0 h 2"/>
              <a:gd name="T6" fmla="*/ 0 w 3"/>
              <a:gd name="T7" fmla="*/ 2 h 2"/>
              <a:gd name="T8" fmla="*/ 0 w 3"/>
              <a:gd name="T9" fmla="*/ 2 h 2"/>
              <a:gd name="T10" fmla="*/ 0 w 3"/>
              <a:gd name="T11" fmla="*/ 2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" h="2">
                <a:moveTo>
                  <a:pt x="0" y="2"/>
                </a:moveTo>
                <a:lnTo>
                  <a:pt x="3" y="0"/>
                </a:lnTo>
                <a:lnTo>
                  <a:pt x="1" y="0"/>
                </a:lnTo>
                <a:lnTo>
                  <a:pt x="0" y="2"/>
                </a:lnTo>
                <a:lnTo>
                  <a:pt x="0" y="2"/>
                </a:lnTo>
                <a:lnTo>
                  <a:pt x="0" y="2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494" name="Freeform 167">
            <a:extLst>
              <a:ext uri="{FF2B5EF4-FFF2-40B4-BE49-F238E27FC236}">
                <a16:creationId xmlns:a16="http://schemas.microsoft.com/office/drawing/2014/main" id="{00000000-0008-0000-0100-0000EE010000}"/>
              </a:ext>
            </a:extLst>
          </xdr:cNvPr>
          <xdr:cNvSpPr>
            <a:spLocks/>
          </xdr:cNvSpPr>
        </xdr:nvSpPr>
        <xdr:spPr bwMode="auto">
          <a:xfrm>
            <a:off x="5015972" y="2327048"/>
            <a:ext cx="9525" cy="9525"/>
          </a:xfrm>
          <a:custGeom>
            <a:avLst/>
            <a:gdLst>
              <a:gd name="T0" fmla="*/ 0 w 4"/>
              <a:gd name="T1" fmla="*/ 0 h 8"/>
              <a:gd name="T2" fmla="*/ 2 w 4"/>
              <a:gd name="T3" fmla="*/ 5 h 8"/>
              <a:gd name="T4" fmla="*/ 4 w 4"/>
              <a:gd name="T5" fmla="*/ 8 h 8"/>
              <a:gd name="T6" fmla="*/ 0 w 4"/>
              <a:gd name="T7" fmla="*/ 0 h 8"/>
              <a:gd name="T8" fmla="*/ 0 w 4"/>
              <a:gd name="T9" fmla="*/ 0 h 8"/>
              <a:gd name="T10" fmla="*/ 0 w 4"/>
              <a:gd name="T11" fmla="*/ 0 h 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" h="8">
                <a:moveTo>
                  <a:pt x="0" y="0"/>
                </a:moveTo>
                <a:lnTo>
                  <a:pt x="2" y="5"/>
                </a:lnTo>
                <a:lnTo>
                  <a:pt x="4" y="8"/>
                </a:ln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495" name="Freeform 168">
            <a:extLst>
              <a:ext uri="{FF2B5EF4-FFF2-40B4-BE49-F238E27FC236}">
                <a16:creationId xmlns:a16="http://schemas.microsoft.com/office/drawing/2014/main" id="{00000000-0008-0000-0100-0000EF010000}"/>
              </a:ext>
            </a:extLst>
          </xdr:cNvPr>
          <xdr:cNvSpPr>
            <a:spLocks/>
          </xdr:cNvSpPr>
        </xdr:nvSpPr>
        <xdr:spPr bwMode="auto">
          <a:xfrm>
            <a:off x="5025497" y="2336573"/>
            <a:ext cx="0" cy="0"/>
          </a:xfrm>
          <a:custGeom>
            <a:avLst/>
            <a:gdLst>
              <a:gd name="T0" fmla="*/ 0 w 2"/>
              <a:gd name="T1" fmla="*/ 0 h 3"/>
              <a:gd name="T2" fmla="*/ 1 w 2"/>
              <a:gd name="T3" fmla="*/ 3 h 3"/>
              <a:gd name="T4" fmla="*/ 2 w 2"/>
              <a:gd name="T5" fmla="*/ 3 h 3"/>
              <a:gd name="T6" fmla="*/ 0 w 2"/>
              <a:gd name="T7" fmla="*/ 0 h 3"/>
              <a:gd name="T8" fmla="*/ 0 w 2"/>
              <a:gd name="T9" fmla="*/ 0 h 3"/>
              <a:gd name="T10" fmla="*/ 0 w 2"/>
              <a:gd name="T11" fmla="*/ 0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2" h="3">
                <a:moveTo>
                  <a:pt x="0" y="0"/>
                </a:moveTo>
                <a:lnTo>
                  <a:pt x="1" y="3"/>
                </a:lnTo>
                <a:lnTo>
                  <a:pt x="2" y="3"/>
                </a:ln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499" name="Freeform 172">
            <a:extLst>
              <a:ext uri="{FF2B5EF4-FFF2-40B4-BE49-F238E27FC236}">
                <a16:creationId xmlns:a16="http://schemas.microsoft.com/office/drawing/2014/main" id="{00000000-0008-0000-0100-0000F3010000}"/>
              </a:ext>
            </a:extLst>
          </xdr:cNvPr>
          <xdr:cNvSpPr>
            <a:spLocks/>
          </xdr:cNvSpPr>
        </xdr:nvSpPr>
        <xdr:spPr bwMode="auto">
          <a:xfrm>
            <a:off x="5339822" y="2973627"/>
            <a:ext cx="9525" cy="9525"/>
          </a:xfrm>
          <a:custGeom>
            <a:avLst/>
            <a:gdLst>
              <a:gd name="T0" fmla="*/ 0 w 2"/>
              <a:gd name="T1" fmla="*/ 0 h 4"/>
              <a:gd name="T2" fmla="*/ 2 w 2"/>
              <a:gd name="T3" fmla="*/ 4 h 4"/>
              <a:gd name="T4" fmla="*/ 2 w 2"/>
              <a:gd name="T5" fmla="*/ 2 h 4"/>
              <a:gd name="T6" fmla="*/ 0 w 2"/>
              <a:gd name="T7" fmla="*/ 0 h 4"/>
              <a:gd name="T8" fmla="*/ 0 w 2"/>
              <a:gd name="T9" fmla="*/ 0 h 4"/>
              <a:gd name="T10" fmla="*/ 0 w 2"/>
              <a:gd name="T11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2" y="4"/>
                </a:lnTo>
                <a:lnTo>
                  <a:pt x="2" y="2"/>
                </a:ln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502" name="Freeform 175">
            <a:extLst>
              <a:ext uri="{FF2B5EF4-FFF2-40B4-BE49-F238E27FC236}">
                <a16:creationId xmlns:a16="http://schemas.microsoft.com/office/drawing/2014/main" id="{00000000-0008-0000-0100-0000F6010000}"/>
              </a:ext>
            </a:extLst>
          </xdr:cNvPr>
          <xdr:cNvSpPr>
            <a:spLocks/>
          </xdr:cNvSpPr>
        </xdr:nvSpPr>
        <xdr:spPr bwMode="auto">
          <a:xfrm>
            <a:off x="5396972" y="2935527"/>
            <a:ext cx="0" cy="9525"/>
          </a:xfrm>
          <a:custGeom>
            <a:avLst/>
            <a:gdLst>
              <a:gd name="T0" fmla="*/ 1 w 2"/>
              <a:gd name="T1" fmla="*/ 3 h 3"/>
              <a:gd name="T2" fmla="*/ 2 w 2"/>
              <a:gd name="T3" fmla="*/ 3 h 3"/>
              <a:gd name="T4" fmla="*/ 0 w 2"/>
              <a:gd name="T5" fmla="*/ 0 h 3"/>
              <a:gd name="T6" fmla="*/ 1 w 2"/>
              <a:gd name="T7" fmla="*/ 3 h 3"/>
              <a:gd name="T8" fmla="*/ 1 w 2"/>
              <a:gd name="T9" fmla="*/ 3 h 3"/>
              <a:gd name="T10" fmla="*/ 1 w 2"/>
              <a:gd name="T11" fmla="*/ 3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2" h="3">
                <a:moveTo>
                  <a:pt x="1" y="3"/>
                </a:moveTo>
                <a:lnTo>
                  <a:pt x="2" y="3"/>
                </a:lnTo>
                <a:lnTo>
                  <a:pt x="0" y="0"/>
                </a:lnTo>
                <a:lnTo>
                  <a:pt x="1" y="3"/>
                </a:lnTo>
                <a:lnTo>
                  <a:pt x="1" y="3"/>
                </a:lnTo>
                <a:lnTo>
                  <a:pt x="1" y="3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509" name="Freeform 182">
            <a:extLst>
              <a:ext uri="{FF2B5EF4-FFF2-40B4-BE49-F238E27FC236}">
                <a16:creationId xmlns:a16="http://schemas.microsoft.com/office/drawing/2014/main" id="{00000000-0008-0000-0100-0000FD010000}"/>
              </a:ext>
            </a:extLst>
          </xdr:cNvPr>
          <xdr:cNvSpPr>
            <a:spLocks/>
          </xdr:cNvSpPr>
        </xdr:nvSpPr>
        <xdr:spPr bwMode="auto">
          <a:xfrm>
            <a:off x="1926535" y="2436865"/>
            <a:ext cx="0" cy="9525"/>
          </a:xfrm>
          <a:custGeom>
            <a:avLst/>
            <a:gdLst>
              <a:gd name="T0" fmla="*/ 2 h 2"/>
              <a:gd name="T1" fmla="*/ 2 h 2"/>
              <a:gd name="T2" fmla="*/ 0 h 2"/>
              <a:gd name="T3" fmla="*/ 2 h 2"/>
              <a:gd name="T4" fmla="*/ 2 h 2"/>
              <a:gd name="T5" fmla="*/ 2 h 2"/>
            </a:gdLst>
            <a:ahLst/>
            <a:cxnLst>
              <a:cxn ang="0">
                <a:pos x="0" y="T0"/>
              </a:cxn>
              <a:cxn ang="0">
                <a:pos x="0" y="T1"/>
              </a:cxn>
              <a:cxn ang="0">
                <a:pos x="0" y="T2"/>
              </a:cxn>
              <a:cxn ang="0">
                <a:pos x="0" y="T3"/>
              </a:cxn>
              <a:cxn ang="0">
                <a:pos x="0" y="T4"/>
              </a:cxn>
              <a:cxn ang="0">
                <a:pos x="0" y="T5"/>
              </a:cxn>
            </a:cxnLst>
            <a:rect l="0" t="0" r="r" b="b"/>
            <a:pathLst>
              <a:path h="2">
                <a:moveTo>
                  <a:pt x="0" y="2"/>
                </a:moveTo>
                <a:lnTo>
                  <a:pt x="0" y="2"/>
                </a:lnTo>
                <a:lnTo>
                  <a:pt x="0" y="0"/>
                </a:lnTo>
                <a:lnTo>
                  <a:pt x="0" y="2"/>
                </a:lnTo>
                <a:lnTo>
                  <a:pt x="0" y="2"/>
                </a:lnTo>
                <a:lnTo>
                  <a:pt x="0" y="2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510" name="Freeform 183">
            <a:extLst>
              <a:ext uri="{FF2B5EF4-FFF2-40B4-BE49-F238E27FC236}">
                <a16:creationId xmlns:a16="http://schemas.microsoft.com/office/drawing/2014/main" id="{00000000-0008-0000-0100-0000FE010000}"/>
              </a:ext>
            </a:extLst>
          </xdr:cNvPr>
          <xdr:cNvSpPr>
            <a:spLocks/>
          </xdr:cNvSpPr>
        </xdr:nvSpPr>
        <xdr:spPr bwMode="auto">
          <a:xfrm>
            <a:off x="2078935" y="2589265"/>
            <a:ext cx="0" cy="9525"/>
          </a:xfrm>
          <a:custGeom>
            <a:avLst/>
            <a:gdLst>
              <a:gd name="T0" fmla="*/ 0 w 2"/>
              <a:gd name="T1" fmla="*/ 0 h 4"/>
              <a:gd name="T2" fmla="*/ 1 w 2"/>
              <a:gd name="T3" fmla="*/ 4 h 4"/>
              <a:gd name="T4" fmla="*/ 2 w 2"/>
              <a:gd name="T5" fmla="*/ 0 h 4"/>
              <a:gd name="T6" fmla="*/ 0 w 2"/>
              <a:gd name="T7" fmla="*/ 0 h 4"/>
              <a:gd name="T8" fmla="*/ 0 w 2"/>
              <a:gd name="T9" fmla="*/ 0 h 4"/>
              <a:gd name="T10" fmla="*/ 0 w 2"/>
              <a:gd name="T11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1" y="4"/>
                </a:lnTo>
                <a:lnTo>
                  <a:pt x="2" y="0"/>
                </a:ln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511" name="Freeform 184">
            <a:extLst>
              <a:ext uri="{FF2B5EF4-FFF2-40B4-BE49-F238E27FC236}">
                <a16:creationId xmlns:a16="http://schemas.microsoft.com/office/drawing/2014/main" id="{00000000-0008-0000-0100-0000FF010000}"/>
              </a:ext>
            </a:extLst>
          </xdr:cNvPr>
          <xdr:cNvSpPr>
            <a:spLocks/>
          </xdr:cNvSpPr>
        </xdr:nvSpPr>
        <xdr:spPr bwMode="auto">
          <a:xfrm>
            <a:off x="4725179" y="2194258"/>
            <a:ext cx="0" cy="9525"/>
          </a:xfrm>
          <a:custGeom>
            <a:avLst/>
            <a:gdLst>
              <a:gd name="T0" fmla="*/ 0 w 3"/>
              <a:gd name="T1" fmla="*/ 2 h 2"/>
              <a:gd name="T2" fmla="*/ 3 w 3"/>
              <a:gd name="T3" fmla="*/ 0 h 2"/>
              <a:gd name="T4" fmla="*/ 1 w 3"/>
              <a:gd name="T5" fmla="*/ 0 h 2"/>
              <a:gd name="T6" fmla="*/ 0 w 3"/>
              <a:gd name="T7" fmla="*/ 2 h 2"/>
              <a:gd name="T8" fmla="*/ 0 w 3"/>
              <a:gd name="T9" fmla="*/ 2 h 2"/>
              <a:gd name="T10" fmla="*/ 0 w 3"/>
              <a:gd name="T11" fmla="*/ 2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" h="2">
                <a:moveTo>
                  <a:pt x="0" y="2"/>
                </a:moveTo>
                <a:lnTo>
                  <a:pt x="3" y="0"/>
                </a:lnTo>
                <a:lnTo>
                  <a:pt x="1" y="0"/>
                </a:lnTo>
                <a:lnTo>
                  <a:pt x="0" y="2"/>
                </a:lnTo>
                <a:lnTo>
                  <a:pt x="0" y="2"/>
                </a:lnTo>
                <a:lnTo>
                  <a:pt x="0" y="2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512" name="Freeform 185">
            <a:extLst>
              <a:ext uri="{FF2B5EF4-FFF2-40B4-BE49-F238E27FC236}">
                <a16:creationId xmlns:a16="http://schemas.microsoft.com/office/drawing/2014/main" id="{00000000-0008-0000-0100-000000020000}"/>
              </a:ext>
            </a:extLst>
          </xdr:cNvPr>
          <xdr:cNvSpPr>
            <a:spLocks/>
          </xdr:cNvSpPr>
        </xdr:nvSpPr>
        <xdr:spPr bwMode="auto">
          <a:xfrm>
            <a:off x="5168372" y="2479448"/>
            <a:ext cx="9525" cy="9525"/>
          </a:xfrm>
          <a:custGeom>
            <a:avLst/>
            <a:gdLst>
              <a:gd name="T0" fmla="*/ 0 w 4"/>
              <a:gd name="T1" fmla="*/ 0 h 8"/>
              <a:gd name="T2" fmla="*/ 2 w 4"/>
              <a:gd name="T3" fmla="*/ 5 h 8"/>
              <a:gd name="T4" fmla="*/ 4 w 4"/>
              <a:gd name="T5" fmla="*/ 8 h 8"/>
              <a:gd name="T6" fmla="*/ 0 w 4"/>
              <a:gd name="T7" fmla="*/ 0 h 8"/>
              <a:gd name="T8" fmla="*/ 0 w 4"/>
              <a:gd name="T9" fmla="*/ 0 h 8"/>
              <a:gd name="T10" fmla="*/ 0 w 4"/>
              <a:gd name="T11" fmla="*/ 0 h 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" h="8">
                <a:moveTo>
                  <a:pt x="0" y="0"/>
                </a:moveTo>
                <a:lnTo>
                  <a:pt x="2" y="5"/>
                </a:lnTo>
                <a:lnTo>
                  <a:pt x="4" y="8"/>
                </a:ln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513" name="Freeform 186">
            <a:extLst>
              <a:ext uri="{FF2B5EF4-FFF2-40B4-BE49-F238E27FC236}">
                <a16:creationId xmlns:a16="http://schemas.microsoft.com/office/drawing/2014/main" id="{00000000-0008-0000-0100-000001020000}"/>
              </a:ext>
            </a:extLst>
          </xdr:cNvPr>
          <xdr:cNvSpPr>
            <a:spLocks/>
          </xdr:cNvSpPr>
        </xdr:nvSpPr>
        <xdr:spPr bwMode="auto">
          <a:xfrm>
            <a:off x="5177897" y="2488973"/>
            <a:ext cx="0" cy="0"/>
          </a:xfrm>
          <a:custGeom>
            <a:avLst/>
            <a:gdLst>
              <a:gd name="T0" fmla="*/ 0 w 2"/>
              <a:gd name="T1" fmla="*/ 0 h 3"/>
              <a:gd name="T2" fmla="*/ 1 w 2"/>
              <a:gd name="T3" fmla="*/ 3 h 3"/>
              <a:gd name="T4" fmla="*/ 2 w 2"/>
              <a:gd name="T5" fmla="*/ 3 h 3"/>
              <a:gd name="T6" fmla="*/ 0 w 2"/>
              <a:gd name="T7" fmla="*/ 0 h 3"/>
              <a:gd name="T8" fmla="*/ 0 w 2"/>
              <a:gd name="T9" fmla="*/ 0 h 3"/>
              <a:gd name="T10" fmla="*/ 0 w 2"/>
              <a:gd name="T11" fmla="*/ 0 h 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2" h="3">
                <a:moveTo>
                  <a:pt x="0" y="0"/>
                </a:moveTo>
                <a:lnTo>
                  <a:pt x="1" y="3"/>
                </a:lnTo>
                <a:lnTo>
                  <a:pt x="2" y="3"/>
                </a:ln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514" name="Freeform 187">
            <a:extLst>
              <a:ext uri="{FF2B5EF4-FFF2-40B4-BE49-F238E27FC236}">
                <a16:creationId xmlns:a16="http://schemas.microsoft.com/office/drawing/2014/main" id="{00000000-0008-0000-0100-000002020000}"/>
              </a:ext>
            </a:extLst>
          </xdr:cNvPr>
          <xdr:cNvSpPr>
            <a:spLocks/>
          </xdr:cNvSpPr>
        </xdr:nvSpPr>
        <xdr:spPr bwMode="auto">
          <a:xfrm>
            <a:off x="1988728" y="1799811"/>
            <a:ext cx="9525" cy="14007"/>
          </a:xfrm>
          <a:custGeom>
            <a:avLst/>
            <a:gdLst>
              <a:gd name="T0" fmla="*/ 4 w 7"/>
              <a:gd name="T1" fmla="*/ 1 h 12"/>
              <a:gd name="T2" fmla="*/ 2 w 7"/>
              <a:gd name="T3" fmla="*/ 0 h 12"/>
              <a:gd name="T4" fmla="*/ 0 w 7"/>
              <a:gd name="T5" fmla="*/ 7 h 12"/>
              <a:gd name="T6" fmla="*/ 2 w 7"/>
              <a:gd name="T7" fmla="*/ 12 h 12"/>
              <a:gd name="T8" fmla="*/ 6 w 7"/>
              <a:gd name="T9" fmla="*/ 12 h 12"/>
              <a:gd name="T10" fmla="*/ 7 w 7"/>
              <a:gd name="T11" fmla="*/ 7 h 12"/>
              <a:gd name="T12" fmla="*/ 4 w 7"/>
              <a:gd name="T13" fmla="*/ 1 h 12"/>
              <a:gd name="T14" fmla="*/ 4 w 7"/>
              <a:gd name="T15" fmla="*/ 1 h 12"/>
              <a:gd name="T16" fmla="*/ 4 w 7"/>
              <a:gd name="T17" fmla="*/ 1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7" h="12">
                <a:moveTo>
                  <a:pt x="4" y="1"/>
                </a:moveTo>
                <a:lnTo>
                  <a:pt x="2" y="0"/>
                </a:lnTo>
                <a:lnTo>
                  <a:pt x="0" y="7"/>
                </a:lnTo>
                <a:lnTo>
                  <a:pt x="2" y="12"/>
                </a:lnTo>
                <a:lnTo>
                  <a:pt x="6" y="12"/>
                </a:lnTo>
                <a:lnTo>
                  <a:pt x="7" y="7"/>
                </a:lnTo>
                <a:lnTo>
                  <a:pt x="4" y="1"/>
                </a:lnTo>
                <a:lnTo>
                  <a:pt x="4" y="1"/>
                </a:lnTo>
                <a:lnTo>
                  <a:pt x="4" y="1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515" name="Freeform 188">
            <a:extLst>
              <a:ext uri="{FF2B5EF4-FFF2-40B4-BE49-F238E27FC236}">
                <a16:creationId xmlns:a16="http://schemas.microsoft.com/office/drawing/2014/main" id="{00000000-0008-0000-0100-000003020000}"/>
              </a:ext>
            </a:extLst>
          </xdr:cNvPr>
          <xdr:cNvSpPr>
            <a:spLocks/>
          </xdr:cNvSpPr>
        </xdr:nvSpPr>
        <xdr:spPr bwMode="auto">
          <a:xfrm>
            <a:off x="4262108" y="2203783"/>
            <a:ext cx="9525" cy="9525"/>
          </a:xfrm>
          <a:custGeom>
            <a:avLst/>
            <a:gdLst>
              <a:gd name="T0" fmla="*/ 8 w 8"/>
              <a:gd name="T1" fmla="*/ 0 h 10"/>
              <a:gd name="T2" fmla="*/ 6 w 8"/>
              <a:gd name="T3" fmla="*/ 1 h 10"/>
              <a:gd name="T4" fmla="*/ 3 w 8"/>
              <a:gd name="T5" fmla="*/ 5 h 10"/>
              <a:gd name="T6" fmla="*/ 0 w 8"/>
              <a:gd name="T7" fmla="*/ 10 h 10"/>
              <a:gd name="T8" fmla="*/ 8 w 8"/>
              <a:gd name="T9" fmla="*/ 0 h 10"/>
              <a:gd name="T10" fmla="*/ 8 w 8"/>
              <a:gd name="T11" fmla="*/ 0 h 10"/>
              <a:gd name="T12" fmla="*/ 8 w 8"/>
              <a:gd name="T13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8" h="10">
                <a:moveTo>
                  <a:pt x="8" y="0"/>
                </a:moveTo>
                <a:lnTo>
                  <a:pt x="6" y="1"/>
                </a:lnTo>
                <a:lnTo>
                  <a:pt x="3" y="5"/>
                </a:lnTo>
                <a:lnTo>
                  <a:pt x="0" y="10"/>
                </a:lnTo>
                <a:lnTo>
                  <a:pt x="8" y="0"/>
                </a:lnTo>
                <a:lnTo>
                  <a:pt x="8" y="0"/>
                </a:lnTo>
                <a:lnTo>
                  <a:pt x="8" y="0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516" name="Freeform 189">
            <a:extLst>
              <a:ext uri="{FF2B5EF4-FFF2-40B4-BE49-F238E27FC236}">
                <a16:creationId xmlns:a16="http://schemas.microsoft.com/office/drawing/2014/main" id="{00000000-0008-0000-0100-000004020000}"/>
              </a:ext>
            </a:extLst>
          </xdr:cNvPr>
          <xdr:cNvSpPr>
            <a:spLocks/>
          </xdr:cNvSpPr>
        </xdr:nvSpPr>
        <xdr:spPr bwMode="auto">
          <a:xfrm>
            <a:off x="4281158" y="2184733"/>
            <a:ext cx="9525" cy="0"/>
          </a:xfrm>
          <a:custGeom>
            <a:avLst/>
            <a:gdLst>
              <a:gd name="T0" fmla="*/ 2 w 2"/>
              <a:gd name="T1" fmla="*/ 2 h 7"/>
              <a:gd name="T2" fmla="*/ 0 w 2"/>
              <a:gd name="T3" fmla="*/ 0 h 7"/>
              <a:gd name="T4" fmla="*/ 1 w 2"/>
              <a:gd name="T5" fmla="*/ 7 h 7"/>
              <a:gd name="T6" fmla="*/ 2 w 2"/>
              <a:gd name="T7" fmla="*/ 2 h 7"/>
              <a:gd name="T8" fmla="*/ 2 w 2"/>
              <a:gd name="T9" fmla="*/ 2 h 7"/>
              <a:gd name="T10" fmla="*/ 2 w 2"/>
              <a:gd name="T11" fmla="*/ 2 h 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2" h="7">
                <a:moveTo>
                  <a:pt x="2" y="2"/>
                </a:moveTo>
                <a:lnTo>
                  <a:pt x="0" y="0"/>
                </a:lnTo>
                <a:lnTo>
                  <a:pt x="1" y="7"/>
                </a:lnTo>
                <a:lnTo>
                  <a:pt x="2" y="2"/>
                </a:lnTo>
                <a:lnTo>
                  <a:pt x="2" y="2"/>
                </a:lnTo>
                <a:lnTo>
                  <a:pt x="2" y="2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517" name="Freeform 190">
            <a:extLst>
              <a:ext uri="{FF2B5EF4-FFF2-40B4-BE49-F238E27FC236}">
                <a16:creationId xmlns:a16="http://schemas.microsoft.com/office/drawing/2014/main" id="{00000000-0008-0000-0100-000005020000}"/>
              </a:ext>
            </a:extLst>
          </xdr:cNvPr>
          <xdr:cNvSpPr>
            <a:spLocks/>
          </xdr:cNvSpPr>
        </xdr:nvSpPr>
        <xdr:spPr bwMode="auto">
          <a:xfrm>
            <a:off x="4262108" y="3977114"/>
            <a:ext cx="28575" cy="19050"/>
          </a:xfrm>
          <a:custGeom>
            <a:avLst/>
            <a:gdLst>
              <a:gd name="T0" fmla="*/ 18 w 18"/>
              <a:gd name="T1" fmla="*/ 7 h 13"/>
              <a:gd name="T2" fmla="*/ 18 w 18"/>
              <a:gd name="T3" fmla="*/ 5 h 13"/>
              <a:gd name="T4" fmla="*/ 17 w 18"/>
              <a:gd name="T5" fmla="*/ 4 h 13"/>
              <a:gd name="T6" fmla="*/ 8 w 18"/>
              <a:gd name="T7" fmla="*/ 0 h 13"/>
              <a:gd name="T8" fmla="*/ 0 w 18"/>
              <a:gd name="T9" fmla="*/ 4 h 13"/>
              <a:gd name="T10" fmla="*/ 2 w 18"/>
              <a:gd name="T11" fmla="*/ 8 h 13"/>
              <a:gd name="T12" fmla="*/ 7 w 18"/>
              <a:gd name="T13" fmla="*/ 9 h 13"/>
              <a:gd name="T14" fmla="*/ 11 w 18"/>
              <a:gd name="T15" fmla="*/ 13 h 13"/>
              <a:gd name="T16" fmla="*/ 15 w 18"/>
              <a:gd name="T17" fmla="*/ 12 h 13"/>
              <a:gd name="T18" fmla="*/ 18 w 18"/>
              <a:gd name="T19" fmla="*/ 7 h 13"/>
              <a:gd name="T20" fmla="*/ 18 w 18"/>
              <a:gd name="T21" fmla="*/ 7 h 13"/>
              <a:gd name="T22" fmla="*/ 18 w 18"/>
              <a:gd name="T23" fmla="*/ 7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18" h="13">
                <a:moveTo>
                  <a:pt x="18" y="7"/>
                </a:moveTo>
                <a:lnTo>
                  <a:pt x="18" y="5"/>
                </a:lnTo>
                <a:lnTo>
                  <a:pt x="17" y="4"/>
                </a:lnTo>
                <a:lnTo>
                  <a:pt x="8" y="0"/>
                </a:lnTo>
                <a:lnTo>
                  <a:pt x="0" y="4"/>
                </a:lnTo>
                <a:lnTo>
                  <a:pt x="2" y="8"/>
                </a:lnTo>
                <a:lnTo>
                  <a:pt x="7" y="9"/>
                </a:lnTo>
                <a:lnTo>
                  <a:pt x="11" y="13"/>
                </a:lnTo>
                <a:lnTo>
                  <a:pt x="15" y="12"/>
                </a:lnTo>
                <a:lnTo>
                  <a:pt x="18" y="7"/>
                </a:lnTo>
                <a:lnTo>
                  <a:pt x="18" y="7"/>
                </a:lnTo>
                <a:lnTo>
                  <a:pt x="18" y="7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518" name="Freeform 191">
            <a:extLst>
              <a:ext uri="{FF2B5EF4-FFF2-40B4-BE49-F238E27FC236}">
                <a16:creationId xmlns:a16="http://schemas.microsoft.com/office/drawing/2014/main" id="{00000000-0008-0000-0100-000006020000}"/>
              </a:ext>
            </a:extLst>
          </xdr:cNvPr>
          <xdr:cNvSpPr>
            <a:spLocks/>
          </xdr:cNvSpPr>
        </xdr:nvSpPr>
        <xdr:spPr bwMode="auto">
          <a:xfrm>
            <a:off x="4328783" y="4000646"/>
            <a:ext cx="19050" cy="9525"/>
          </a:xfrm>
          <a:custGeom>
            <a:avLst/>
            <a:gdLst>
              <a:gd name="T0" fmla="*/ 9 w 9"/>
              <a:gd name="T1" fmla="*/ 11 h 12"/>
              <a:gd name="T2" fmla="*/ 8 w 9"/>
              <a:gd name="T3" fmla="*/ 5 h 12"/>
              <a:gd name="T4" fmla="*/ 4 w 9"/>
              <a:gd name="T5" fmla="*/ 0 h 12"/>
              <a:gd name="T6" fmla="*/ 0 w 9"/>
              <a:gd name="T7" fmla="*/ 5 h 12"/>
              <a:gd name="T8" fmla="*/ 0 w 9"/>
              <a:gd name="T9" fmla="*/ 8 h 12"/>
              <a:gd name="T10" fmla="*/ 4 w 9"/>
              <a:gd name="T11" fmla="*/ 12 h 12"/>
              <a:gd name="T12" fmla="*/ 8 w 9"/>
              <a:gd name="T13" fmla="*/ 12 h 12"/>
              <a:gd name="T14" fmla="*/ 9 w 9"/>
              <a:gd name="T15" fmla="*/ 11 h 12"/>
              <a:gd name="T16" fmla="*/ 9 w 9"/>
              <a:gd name="T17" fmla="*/ 11 h 12"/>
              <a:gd name="T18" fmla="*/ 9 w 9"/>
              <a:gd name="T19" fmla="*/ 11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9" h="12">
                <a:moveTo>
                  <a:pt x="9" y="11"/>
                </a:moveTo>
                <a:lnTo>
                  <a:pt x="8" y="5"/>
                </a:lnTo>
                <a:lnTo>
                  <a:pt x="4" y="0"/>
                </a:lnTo>
                <a:lnTo>
                  <a:pt x="0" y="5"/>
                </a:lnTo>
                <a:lnTo>
                  <a:pt x="0" y="8"/>
                </a:lnTo>
                <a:lnTo>
                  <a:pt x="4" y="12"/>
                </a:lnTo>
                <a:lnTo>
                  <a:pt x="8" y="12"/>
                </a:lnTo>
                <a:lnTo>
                  <a:pt x="9" y="11"/>
                </a:lnTo>
                <a:lnTo>
                  <a:pt x="9" y="11"/>
                </a:lnTo>
                <a:lnTo>
                  <a:pt x="9" y="11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523" name="Freeform 196">
            <a:extLst>
              <a:ext uri="{FF2B5EF4-FFF2-40B4-BE49-F238E27FC236}">
                <a16:creationId xmlns:a16="http://schemas.microsoft.com/office/drawing/2014/main" id="{00000000-0008-0000-0100-00000B020000}"/>
              </a:ext>
            </a:extLst>
          </xdr:cNvPr>
          <xdr:cNvSpPr>
            <a:spLocks/>
          </xdr:cNvSpPr>
        </xdr:nvSpPr>
        <xdr:spPr bwMode="auto">
          <a:xfrm>
            <a:off x="5916364" y="2156158"/>
            <a:ext cx="19050" cy="19050"/>
          </a:xfrm>
          <a:custGeom>
            <a:avLst/>
            <a:gdLst>
              <a:gd name="T0" fmla="*/ 6 w 10"/>
              <a:gd name="T1" fmla="*/ 0 h 16"/>
              <a:gd name="T2" fmla="*/ 4 w 10"/>
              <a:gd name="T3" fmla="*/ 0 h 16"/>
              <a:gd name="T4" fmla="*/ 0 w 10"/>
              <a:gd name="T5" fmla="*/ 10 h 16"/>
              <a:gd name="T6" fmla="*/ 1 w 10"/>
              <a:gd name="T7" fmla="*/ 16 h 16"/>
              <a:gd name="T8" fmla="*/ 9 w 10"/>
              <a:gd name="T9" fmla="*/ 10 h 16"/>
              <a:gd name="T10" fmla="*/ 10 w 10"/>
              <a:gd name="T11" fmla="*/ 4 h 16"/>
              <a:gd name="T12" fmla="*/ 6 w 10"/>
              <a:gd name="T13" fmla="*/ 0 h 16"/>
              <a:gd name="T14" fmla="*/ 6 w 10"/>
              <a:gd name="T15" fmla="*/ 0 h 16"/>
              <a:gd name="T16" fmla="*/ 6 w 10"/>
              <a:gd name="T17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" h="16">
                <a:moveTo>
                  <a:pt x="6" y="0"/>
                </a:moveTo>
                <a:lnTo>
                  <a:pt x="4" y="0"/>
                </a:lnTo>
                <a:lnTo>
                  <a:pt x="0" y="10"/>
                </a:lnTo>
                <a:lnTo>
                  <a:pt x="1" y="16"/>
                </a:lnTo>
                <a:lnTo>
                  <a:pt x="9" y="10"/>
                </a:lnTo>
                <a:lnTo>
                  <a:pt x="10" y="4"/>
                </a:lnTo>
                <a:lnTo>
                  <a:pt x="6" y="0"/>
                </a:lnTo>
                <a:lnTo>
                  <a:pt x="6" y="0"/>
                </a:lnTo>
                <a:lnTo>
                  <a:pt x="6" y="0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index!P42">
        <xdr:nvSpPr>
          <xdr:cNvPr id="508" name="RI">
            <a:extLst>
              <a:ext uri="{FF2B5EF4-FFF2-40B4-BE49-F238E27FC236}">
                <a16:creationId xmlns:a16="http://schemas.microsoft.com/office/drawing/2014/main" id="{00000000-0008-0000-0100-0000FC010000}"/>
              </a:ext>
            </a:extLst>
          </xdr:cNvPr>
          <xdr:cNvSpPr>
            <a:spLocks/>
          </xdr:cNvSpPr>
        </xdr:nvSpPr>
        <xdr:spPr bwMode="auto">
          <a:xfrm>
            <a:off x="5582989" y="2307998"/>
            <a:ext cx="47625" cy="76200"/>
          </a:xfrm>
          <a:custGeom>
            <a:avLst/>
            <a:gdLst>
              <a:gd name="T0" fmla="*/ 0 w 27"/>
              <a:gd name="T1" fmla="*/ 7 h 65"/>
              <a:gd name="T2" fmla="*/ 9 w 27"/>
              <a:gd name="T3" fmla="*/ 51 h 65"/>
              <a:gd name="T4" fmla="*/ 10 w 27"/>
              <a:gd name="T5" fmla="*/ 56 h 65"/>
              <a:gd name="T6" fmla="*/ 9 w 27"/>
              <a:gd name="T7" fmla="*/ 60 h 65"/>
              <a:gd name="T8" fmla="*/ 9 w 27"/>
              <a:gd name="T9" fmla="*/ 63 h 65"/>
              <a:gd name="T10" fmla="*/ 9 w 27"/>
              <a:gd name="T11" fmla="*/ 65 h 65"/>
              <a:gd name="T12" fmla="*/ 13 w 27"/>
              <a:gd name="T13" fmla="*/ 63 h 65"/>
              <a:gd name="T14" fmla="*/ 25 w 27"/>
              <a:gd name="T15" fmla="*/ 52 h 65"/>
              <a:gd name="T16" fmla="*/ 26 w 27"/>
              <a:gd name="T17" fmla="*/ 45 h 65"/>
              <a:gd name="T18" fmla="*/ 25 w 27"/>
              <a:gd name="T19" fmla="*/ 39 h 65"/>
              <a:gd name="T20" fmla="*/ 24 w 27"/>
              <a:gd name="T21" fmla="*/ 33 h 65"/>
              <a:gd name="T22" fmla="*/ 22 w 27"/>
              <a:gd name="T23" fmla="*/ 27 h 65"/>
              <a:gd name="T24" fmla="*/ 23 w 27"/>
              <a:gd name="T25" fmla="*/ 21 h 65"/>
              <a:gd name="T26" fmla="*/ 22 w 27"/>
              <a:gd name="T27" fmla="*/ 16 h 65"/>
              <a:gd name="T28" fmla="*/ 25 w 27"/>
              <a:gd name="T29" fmla="*/ 21 h 65"/>
              <a:gd name="T30" fmla="*/ 27 w 27"/>
              <a:gd name="T31" fmla="*/ 19 h 65"/>
              <a:gd name="T32" fmla="*/ 27 w 27"/>
              <a:gd name="T33" fmla="*/ 19 h 65"/>
              <a:gd name="T34" fmla="*/ 24 w 27"/>
              <a:gd name="T35" fmla="*/ 15 h 65"/>
              <a:gd name="T36" fmla="*/ 24 w 27"/>
              <a:gd name="T37" fmla="*/ 11 h 65"/>
              <a:gd name="T38" fmla="*/ 21 w 27"/>
              <a:gd name="T39" fmla="*/ 9 h 65"/>
              <a:gd name="T40" fmla="*/ 20 w 27"/>
              <a:gd name="T41" fmla="*/ 4 h 65"/>
              <a:gd name="T42" fmla="*/ 16 w 27"/>
              <a:gd name="T43" fmla="*/ 0 h 65"/>
              <a:gd name="T44" fmla="*/ 0 w 27"/>
              <a:gd name="T45" fmla="*/ 7 h 65"/>
              <a:gd name="T46" fmla="*/ 0 w 27"/>
              <a:gd name="T47" fmla="*/ 7 h 65"/>
              <a:gd name="T48" fmla="*/ 0 w 27"/>
              <a:gd name="T49" fmla="*/ 7 h 6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</a:cxnLst>
            <a:rect l="0" t="0" r="r" b="b"/>
            <a:pathLst>
              <a:path w="27" h="65">
                <a:moveTo>
                  <a:pt x="0" y="7"/>
                </a:moveTo>
                <a:lnTo>
                  <a:pt x="9" y="51"/>
                </a:lnTo>
                <a:lnTo>
                  <a:pt x="10" y="56"/>
                </a:lnTo>
                <a:lnTo>
                  <a:pt x="9" y="60"/>
                </a:lnTo>
                <a:lnTo>
                  <a:pt x="9" y="63"/>
                </a:lnTo>
                <a:lnTo>
                  <a:pt x="9" y="65"/>
                </a:lnTo>
                <a:lnTo>
                  <a:pt x="13" y="63"/>
                </a:lnTo>
                <a:lnTo>
                  <a:pt x="25" y="52"/>
                </a:lnTo>
                <a:lnTo>
                  <a:pt x="26" y="45"/>
                </a:lnTo>
                <a:lnTo>
                  <a:pt x="25" y="39"/>
                </a:lnTo>
                <a:lnTo>
                  <a:pt x="24" y="33"/>
                </a:lnTo>
                <a:lnTo>
                  <a:pt x="22" y="27"/>
                </a:lnTo>
                <a:lnTo>
                  <a:pt x="23" y="21"/>
                </a:lnTo>
                <a:lnTo>
                  <a:pt x="22" y="16"/>
                </a:lnTo>
                <a:lnTo>
                  <a:pt x="25" y="21"/>
                </a:lnTo>
                <a:lnTo>
                  <a:pt x="27" y="19"/>
                </a:lnTo>
                <a:lnTo>
                  <a:pt x="27" y="19"/>
                </a:lnTo>
                <a:lnTo>
                  <a:pt x="24" y="15"/>
                </a:lnTo>
                <a:lnTo>
                  <a:pt x="24" y="11"/>
                </a:lnTo>
                <a:lnTo>
                  <a:pt x="21" y="9"/>
                </a:lnTo>
                <a:lnTo>
                  <a:pt x="20" y="4"/>
                </a:lnTo>
                <a:lnTo>
                  <a:pt x="16" y="0"/>
                </a:lnTo>
                <a:lnTo>
                  <a:pt x="0" y="7"/>
                </a:lnTo>
                <a:lnTo>
                  <a:pt x="0" y="7"/>
                </a:lnTo>
                <a:lnTo>
                  <a:pt x="0" y="7"/>
                </a:lnTo>
                <a:close/>
              </a:path>
            </a:pathLst>
          </a:custGeom>
          <a:solidFill>
            <a:srgbClr val="E75936">
              <a:alpha val="5844"/>
            </a:srgbClr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3C6A6AAC-364E-410C-AB95-EE42920B6330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">
        <xdr:nvSpPr>
          <xdr:cNvPr id="524" name="Freeform 197">
            <a:extLst>
              <a:ext uri="{FF2B5EF4-FFF2-40B4-BE49-F238E27FC236}">
                <a16:creationId xmlns:a16="http://schemas.microsoft.com/office/drawing/2014/main" id="{00000000-0008-0000-0100-00000C020000}"/>
              </a:ext>
            </a:extLst>
          </xdr:cNvPr>
          <xdr:cNvSpPr>
            <a:spLocks/>
          </xdr:cNvSpPr>
        </xdr:nvSpPr>
        <xdr:spPr bwMode="auto">
          <a:xfrm>
            <a:off x="6021139" y="2085001"/>
            <a:ext cx="0" cy="28575"/>
          </a:xfrm>
          <a:custGeom>
            <a:avLst/>
            <a:gdLst>
              <a:gd name="T0" fmla="*/ 2 w 5"/>
              <a:gd name="T1" fmla="*/ 0 h 15"/>
              <a:gd name="T2" fmla="*/ 2 w 5"/>
              <a:gd name="T3" fmla="*/ 0 h 15"/>
              <a:gd name="T4" fmla="*/ 0 w 5"/>
              <a:gd name="T5" fmla="*/ 5 h 15"/>
              <a:gd name="T6" fmla="*/ 0 w 5"/>
              <a:gd name="T7" fmla="*/ 10 h 15"/>
              <a:gd name="T8" fmla="*/ 2 w 5"/>
              <a:gd name="T9" fmla="*/ 15 h 15"/>
              <a:gd name="T10" fmla="*/ 5 w 5"/>
              <a:gd name="T11" fmla="*/ 10 h 15"/>
              <a:gd name="T12" fmla="*/ 5 w 5"/>
              <a:gd name="T13" fmla="*/ 5 h 15"/>
              <a:gd name="T14" fmla="*/ 2 w 5"/>
              <a:gd name="T15" fmla="*/ 0 h 15"/>
              <a:gd name="T16" fmla="*/ 2 w 5"/>
              <a:gd name="T17" fmla="*/ 0 h 15"/>
              <a:gd name="T18" fmla="*/ 2 w 5"/>
              <a:gd name="T19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5" h="15">
                <a:moveTo>
                  <a:pt x="2" y="0"/>
                </a:moveTo>
                <a:lnTo>
                  <a:pt x="2" y="0"/>
                </a:lnTo>
                <a:lnTo>
                  <a:pt x="0" y="5"/>
                </a:lnTo>
                <a:lnTo>
                  <a:pt x="0" y="10"/>
                </a:lnTo>
                <a:lnTo>
                  <a:pt x="2" y="15"/>
                </a:lnTo>
                <a:lnTo>
                  <a:pt x="5" y="10"/>
                </a:lnTo>
                <a:lnTo>
                  <a:pt x="5" y="5"/>
                </a:lnTo>
                <a:lnTo>
                  <a:pt x="2" y="0"/>
                </a:lnTo>
                <a:lnTo>
                  <a:pt x="2" y="0"/>
                </a:lnTo>
                <a:lnTo>
                  <a:pt x="2" y="0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index!P9">
        <xdr:nvSpPr>
          <xdr:cNvPr id="498" name="DE">
            <a:extLst>
              <a:ext uri="{FF2B5EF4-FFF2-40B4-BE49-F238E27FC236}">
                <a16:creationId xmlns:a16="http://schemas.microsoft.com/office/drawing/2014/main" id="{00000000-0008-0000-0100-0000F2010000}"/>
              </a:ext>
            </a:extLst>
          </xdr:cNvPr>
          <xdr:cNvSpPr>
            <a:spLocks/>
          </xdr:cNvSpPr>
        </xdr:nvSpPr>
        <xdr:spPr bwMode="auto">
          <a:xfrm>
            <a:off x="5339822" y="2602712"/>
            <a:ext cx="90767" cy="142875"/>
          </a:xfrm>
          <a:custGeom>
            <a:avLst/>
            <a:gdLst>
              <a:gd name="T0" fmla="*/ 0 w 54"/>
              <a:gd name="T1" fmla="*/ 15 h 122"/>
              <a:gd name="T2" fmla="*/ 13 w 54"/>
              <a:gd name="T3" fmla="*/ 78 h 122"/>
              <a:gd name="T4" fmla="*/ 20 w 54"/>
              <a:gd name="T5" fmla="*/ 115 h 122"/>
              <a:gd name="T6" fmla="*/ 22 w 54"/>
              <a:gd name="T7" fmla="*/ 122 h 122"/>
              <a:gd name="T8" fmla="*/ 52 w 54"/>
              <a:gd name="T9" fmla="*/ 112 h 122"/>
              <a:gd name="T10" fmla="*/ 53 w 54"/>
              <a:gd name="T11" fmla="*/ 111 h 122"/>
              <a:gd name="T12" fmla="*/ 54 w 54"/>
              <a:gd name="T13" fmla="*/ 111 h 122"/>
              <a:gd name="T14" fmla="*/ 51 w 54"/>
              <a:gd name="T15" fmla="*/ 100 h 122"/>
              <a:gd name="T16" fmla="*/ 47 w 54"/>
              <a:gd name="T17" fmla="*/ 102 h 122"/>
              <a:gd name="T18" fmla="*/ 45 w 54"/>
              <a:gd name="T19" fmla="*/ 103 h 122"/>
              <a:gd name="T20" fmla="*/ 49 w 54"/>
              <a:gd name="T21" fmla="*/ 98 h 122"/>
              <a:gd name="T22" fmla="*/ 47 w 54"/>
              <a:gd name="T23" fmla="*/ 96 h 122"/>
              <a:gd name="T24" fmla="*/ 47 w 54"/>
              <a:gd name="T25" fmla="*/ 91 h 122"/>
              <a:gd name="T26" fmla="*/ 48 w 54"/>
              <a:gd name="T27" fmla="*/ 86 h 122"/>
              <a:gd name="T28" fmla="*/ 47 w 54"/>
              <a:gd name="T29" fmla="*/ 83 h 122"/>
              <a:gd name="T30" fmla="*/ 42 w 54"/>
              <a:gd name="T31" fmla="*/ 83 h 122"/>
              <a:gd name="T32" fmla="*/ 34 w 54"/>
              <a:gd name="T33" fmla="*/ 75 h 122"/>
              <a:gd name="T34" fmla="*/ 33 w 54"/>
              <a:gd name="T35" fmla="*/ 70 h 122"/>
              <a:gd name="T36" fmla="*/ 28 w 54"/>
              <a:gd name="T37" fmla="*/ 64 h 122"/>
              <a:gd name="T38" fmla="*/ 26 w 54"/>
              <a:gd name="T39" fmla="*/ 56 h 122"/>
              <a:gd name="T40" fmla="*/ 25 w 54"/>
              <a:gd name="T41" fmla="*/ 51 h 122"/>
              <a:gd name="T42" fmla="*/ 23 w 54"/>
              <a:gd name="T43" fmla="*/ 46 h 122"/>
              <a:gd name="T44" fmla="*/ 19 w 54"/>
              <a:gd name="T45" fmla="*/ 40 h 122"/>
              <a:gd name="T46" fmla="*/ 15 w 54"/>
              <a:gd name="T47" fmla="*/ 35 h 122"/>
              <a:gd name="T48" fmla="*/ 13 w 54"/>
              <a:gd name="T49" fmla="*/ 30 h 122"/>
              <a:gd name="T50" fmla="*/ 13 w 54"/>
              <a:gd name="T51" fmla="*/ 24 h 122"/>
              <a:gd name="T52" fmla="*/ 10 w 54"/>
              <a:gd name="T53" fmla="*/ 19 h 122"/>
              <a:gd name="T54" fmla="*/ 12 w 54"/>
              <a:gd name="T55" fmla="*/ 16 h 122"/>
              <a:gd name="T56" fmla="*/ 13 w 54"/>
              <a:gd name="T57" fmla="*/ 10 h 122"/>
              <a:gd name="T58" fmla="*/ 14 w 54"/>
              <a:gd name="T59" fmla="*/ 4 h 122"/>
              <a:gd name="T60" fmla="*/ 16 w 54"/>
              <a:gd name="T61" fmla="*/ 2 h 122"/>
              <a:gd name="T62" fmla="*/ 14 w 54"/>
              <a:gd name="T63" fmla="*/ 0 h 122"/>
              <a:gd name="T64" fmla="*/ 11 w 54"/>
              <a:gd name="T65" fmla="*/ 0 h 122"/>
              <a:gd name="T66" fmla="*/ 7 w 54"/>
              <a:gd name="T67" fmla="*/ 0 h 122"/>
              <a:gd name="T68" fmla="*/ 3 w 54"/>
              <a:gd name="T69" fmla="*/ 4 h 122"/>
              <a:gd name="T70" fmla="*/ 1 w 54"/>
              <a:gd name="T71" fmla="*/ 10 h 122"/>
              <a:gd name="T72" fmla="*/ 0 w 54"/>
              <a:gd name="T73" fmla="*/ 15 h 122"/>
              <a:gd name="T74" fmla="*/ 0 w 54"/>
              <a:gd name="T75" fmla="*/ 15 h 122"/>
              <a:gd name="T76" fmla="*/ 0 w 54"/>
              <a:gd name="T77" fmla="*/ 15 h 1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</a:cxnLst>
            <a:rect l="0" t="0" r="r" b="b"/>
            <a:pathLst>
              <a:path w="54" h="122">
                <a:moveTo>
                  <a:pt x="0" y="15"/>
                </a:moveTo>
                <a:lnTo>
                  <a:pt x="13" y="78"/>
                </a:lnTo>
                <a:lnTo>
                  <a:pt x="20" y="115"/>
                </a:lnTo>
                <a:lnTo>
                  <a:pt x="22" y="122"/>
                </a:lnTo>
                <a:lnTo>
                  <a:pt x="52" y="112"/>
                </a:lnTo>
                <a:lnTo>
                  <a:pt x="53" y="111"/>
                </a:lnTo>
                <a:lnTo>
                  <a:pt x="54" y="111"/>
                </a:lnTo>
                <a:lnTo>
                  <a:pt x="51" y="100"/>
                </a:lnTo>
                <a:lnTo>
                  <a:pt x="47" y="102"/>
                </a:lnTo>
                <a:lnTo>
                  <a:pt x="45" y="103"/>
                </a:lnTo>
                <a:lnTo>
                  <a:pt x="49" y="98"/>
                </a:lnTo>
                <a:lnTo>
                  <a:pt x="47" y="96"/>
                </a:lnTo>
                <a:lnTo>
                  <a:pt x="47" y="91"/>
                </a:lnTo>
                <a:lnTo>
                  <a:pt x="48" y="86"/>
                </a:lnTo>
                <a:lnTo>
                  <a:pt x="47" y="83"/>
                </a:lnTo>
                <a:lnTo>
                  <a:pt x="42" y="83"/>
                </a:lnTo>
                <a:lnTo>
                  <a:pt x="34" y="75"/>
                </a:lnTo>
                <a:lnTo>
                  <a:pt x="33" y="70"/>
                </a:lnTo>
                <a:lnTo>
                  <a:pt x="28" y="64"/>
                </a:lnTo>
                <a:lnTo>
                  <a:pt x="26" y="56"/>
                </a:lnTo>
                <a:lnTo>
                  <a:pt x="25" y="51"/>
                </a:lnTo>
                <a:lnTo>
                  <a:pt x="23" y="46"/>
                </a:lnTo>
                <a:lnTo>
                  <a:pt x="19" y="40"/>
                </a:lnTo>
                <a:lnTo>
                  <a:pt x="15" y="35"/>
                </a:lnTo>
                <a:lnTo>
                  <a:pt x="13" y="30"/>
                </a:lnTo>
                <a:lnTo>
                  <a:pt x="13" y="24"/>
                </a:lnTo>
                <a:lnTo>
                  <a:pt x="10" y="19"/>
                </a:lnTo>
                <a:lnTo>
                  <a:pt x="12" y="16"/>
                </a:lnTo>
                <a:lnTo>
                  <a:pt x="13" y="10"/>
                </a:lnTo>
                <a:lnTo>
                  <a:pt x="14" y="4"/>
                </a:lnTo>
                <a:lnTo>
                  <a:pt x="16" y="2"/>
                </a:lnTo>
                <a:lnTo>
                  <a:pt x="14" y="0"/>
                </a:lnTo>
                <a:lnTo>
                  <a:pt x="11" y="0"/>
                </a:lnTo>
                <a:lnTo>
                  <a:pt x="7" y="0"/>
                </a:lnTo>
                <a:lnTo>
                  <a:pt x="3" y="4"/>
                </a:lnTo>
                <a:lnTo>
                  <a:pt x="1" y="10"/>
                </a:lnTo>
                <a:lnTo>
                  <a:pt x="0" y="15"/>
                </a:lnTo>
                <a:lnTo>
                  <a:pt x="0" y="15"/>
                </a:lnTo>
                <a:lnTo>
                  <a:pt x="0" y="15"/>
                </a:lnTo>
                <a:close/>
              </a:path>
            </a:pathLst>
          </a:custGeom>
          <a:solidFill>
            <a:srgbClr val="E75936">
              <a:alpha val="67112"/>
            </a:srgbClr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06381DD4-B0F2-4AE3-8176-4A5A76E28578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50">
        <xdr:nvSpPr>
          <xdr:cNvPr id="444" name="WA">
            <a:extLst>
              <a:ext uri="{FF2B5EF4-FFF2-40B4-BE49-F238E27FC236}">
                <a16:creationId xmlns:a16="http://schemas.microsoft.com/office/drawing/2014/main" id="{00000000-0008-0000-0100-0000BC010000}"/>
              </a:ext>
            </a:extLst>
          </xdr:cNvPr>
          <xdr:cNvSpPr>
            <a:spLocks/>
          </xdr:cNvSpPr>
        </xdr:nvSpPr>
        <xdr:spPr bwMode="auto">
          <a:xfrm>
            <a:off x="1716985" y="1618836"/>
            <a:ext cx="547968" cy="384922"/>
          </a:xfrm>
          <a:custGeom>
            <a:avLst/>
            <a:gdLst>
              <a:gd name="T0" fmla="*/ 28 w 341"/>
              <a:gd name="T1" fmla="*/ 220 h 329"/>
              <a:gd name="T2" fmla="*/ 42 w 341"/>
              <a:gd name="T3" fmla="*/ 232 h 329"/>
              <a:gd name="T4" fmla="*/ 47 w 341"/>
              <a:gd name="T5" fmla="*/ 278 h 329"/>
              <a:gd name="T6" fmla="*/ 64 w 341"/>
              <a:gd name="T7" fmla="*/ 290 h 329"/>
              <a:gd name="T8" fmla="*/ 85 w 341"/>
              <a:gd name="T9" fmla="*/ 286 h 329"/>
              <a:gd name="T10" fmla="*/ 105 w 341"/>
              <a:gd name="T11" fmla="*/ 291 h 329"/>
              <a:gd name="T12" fmla="*/ 122 w 341"/>
              <a:gd name="T13" fmla="*/ 302 h 329"/>
              <a:gd name="T14" fmla="*/ 147 w 341"/>
              <a:gd name="T15" fmla="*/ 306 h 329"/>
              <a:gd name="T16" fmla="*/ 172 w 341"/>
              <a:gd name="T17" fmla="*/ 303 h 329"/>
              <a:gd name="T18" fmla="*/ 202 w 341"/>
              <a:gd name="T19" fmla="*/ 302 h 329"/>
              <a:gd name="T20" fmla="*/ 256 w 341"/>
              <a:gd name="T21" fmla="*/ 315 h 329"/>
              <a:gd name="T22" fmla="*/ 306 w 341"/>
              <a:gd name="T23" fmla="*/ 295 h 329"/>
              <a:gd name="T24" fmla="*/ 341 w 341"/>
              <a:gd name="T25" fmla="*/ 77 h 329"/>
              <a:gd name="T26" fmla="*/ 101 w 341"/>
              <a:gd name="T27" fmla="*/ 0 h 329"/>
              <a:gd name="T28" fmla="*/ 101 w 341"/>
              <a:gd name="T29" fmla="*/ 16 h 329"/>
              <a:gd name="T30" fmla="*/ 107 w 341"/>
              <a:gd name="T31" fmla="*/ 36 h 329"/>
              <a:gd name="T32" fmla="*/ 103 w 341"/>
              <a:gd name="T33" fmla="*/ 49 h 329"/>
              <a:gd name="T34" fmla="*/ 100 w 341"/>
              <a:gd name="T35" fmla="*/ 50 h 329"/>
              <a:gd name="T36" fmla="*/ 104 w 341"/>
              <a:gd name="T37" fmla="*/ 69 h 329"/>
              <a:gd name="T38" fmla="*/ 102 w 341"/>
              <a:gd name="T39" fmla="*/ 97 h 329"/>
              <a:gd name="T40" fmla="*/ 96 w 341"/>
              <a:gd name="T41" fmla="*/ 118 h 329"/>
              <a:gd name="T42" fmla="*/ 81 w 341"/>
              <a:gd name="T43" fmla="*/ 145 h 329"/>
              <a:gd name="T44" fmla="*/ 69 w 341"/>
              <a:gd name="T45" fmla="*/ 148 h 329"/>
              <a:gd name="T46" fmla="*/ 62 w 341"/>
              <a:gd name="T47" fmla="*/ 148 h 329"/>
              <a:gd name="T48" fmla="*/ 73 w 341"/>
              <a:gd name="T49" fmla="*/ 132 h 329"/>
              <a:gd name="T50" fmla="*/ 72 w 341"/>
              <a:gd name="T51" fmla="*/ 146 h 329"/>
              <a:gd name="T52" fmla="*/ 76 w 341"/>
              <a:gd name="T53" fmla="*/ 140 h 329"/>
              <a:gd name="T54" fmla="*/ 81 w 341"/>
              <a:gd name="T55" fmla="*/ 120 h 329"/>
              <a:gd name="T56" fmla="*/ 85 w 341"/>
              <a:gd name="T57" fmla="*/ 104 h 329"/>
              <a:gd name="T58" fmla="*/ 91 w 341"/>
              <a:gd name="T59" fmla="*/ 90 h 329"/>
              <a:gd name="T60" fmla="*/ 61 w 341"/>
              <a:gd name="T61" fmla="*/ 122 h 329"/>
              <a:gd name="T62" fmla="*/ 62 w 341"/>
              <a:gd name="T63" fmla="*/ 129 h 329"/>
              <a:gd name="T64" fmla="*/ 73 w 341"/>
              <a:gd name="T65" fmla="*/ 106 h 329"/>
              <a:gd name="T66" fmla="*/ 81 w 341"/>
              <a:gd name="T67" fmla="*/ 100 h 329"/>
              <a:gd name="T68" fmla="*/ 86 w 341"/>
              <a:gd name="T69" fmla="*/ 68 h 329"/>
              <a:gd name="T70" fmla="*/ 74 w 341"/>
              <a:gd name="T71" fmla="*/ 72 h 329"/>
              <a:gd name="T72" fmla="*/ 64 w 341"/>
              <a:gd name="T73" fmla="*/ 62 h 329"/>
              <a:gd name="T74" fmla="*/ 39 w 341"/>
              <a:gd name="T75" fmla="*/ 49 h 329"/>
              <a:gd name="T76" fmla="*/ 21 w 341"/>
              <a:gd name="T77" fmla="*/ 30 h 329"/>
              <a:gd name="T78" fmla="*/ 9 w 341"/>
              <a:gd name="T79" fmla="*/ 26 h 329"/>
              <a:gd name="T80" fmla="*/ 5 w 341"/>
              <a:gd name="T81" fmla="*/ 48 h 329"/>
              <a:gd name="T82" fmla="*/ 11 w 341"/>
              <a:gd name="T83" fmla="*/ 77 h 329"/>
              <a:gd name="T84" fmla="*/ 9 w 341"/>
              <a:gd name="T85" fmla="*/ 136 h 329"/>
              <a:gd name="T86" fmla="*/ 14 w 341"/>
              <a:gd name="T87" fmla="*/ 141 h 329"/>
              <a:gd name="T88" fmla="*/ 9 w 341"/>
              <a:gd name="T89" fmla="*/ 154 h 329"/>
              <a:gd name="T90" fmla="*/ 9 w 341"/>
              <a:gd name="T91" fmla="*/ 165 h 329"/>
              <a:gd name="T92" fmla="*/ 13 w 341"/>
              <a:gd name="T93" fmla="*/ 172 h 329"/>
              <a:gd name="T94" fmla="*/ 11 w 341"/>
              <a:gd name="T95" fmla="*/ 193 h 329"/>
              <a:gd name="T96" fmla="*/ 6 w 341"/>
              <a:gd name="T97" fmla="*/ 180 h 329"/>
              <a:gd name="T98" fmla="*/ 7 w 341"/>
              <a:gd name="T99" fmla="*/ 208 h 329"/>
              <a:gd name="T100" fmla="*/ 24 w 341"/>
              <a:gd name="T101" fmla="*/ 212 h 3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</a:cxnLst>
            <a:rect l="0" t="0" r="r" b="b"/>
            <a:pathLst>
              <a:path w="341" h="329">
                <a:moveTo>
                  <a:pt x="24" y="212"/>
                </a:moveTo>
                <a:lnTo>
                  <a:pt x="26" y="213"/>
                </a:lnTo>
                <a:lnTo>
                  <a:pt x="27" y="214"/>
                </a:lnTo>
                <a:lnTo>
                  <a:pt x="28" y="220"/>
                </a:lnTo>
                <a:lnTo>
                  <a:pt x="32" y="225"/>
                </a:lnTo>
                <a:lnTo>
                  <a:pt x="36" y="224"/>
                </a:lnTo>
                <a:lnTo>
                  <a:pt x="39" y="226"/>
                </a:lnTo>
                <a:lnTo>
                  <a:pt x="42" y="232"/>
                </a:lnTo>
                <a:lnTo>
                  <a:pt x="46" y="237"/>
                </a:lnTo>
                <a:lnTo>
                  <a:pt x="48" y="248"/>
                </a:lnTo>
                <a:lnTo>
                  <a:pt x="46" y="275"/>
                </a:lnTo>
                <a:lnTo>
                  <a:pt x="47" y="278"/>
                </a:lnTo>
                <a:lnTo>
                  <a:pt x="54" y="282"/>
                </a:lnTo>
                <a:lnTo>
                  <a:pt x="58" y="286"/>
                </a:lnTo>
                <a:lnTo>
                  <a:pt x="60" y="286"/>
                </a:lnTo>
                <a:lnTo>
                  <a:pt x="64" y="290"/>
                </a:lnTo>
                <a:lnTo>
                  <a:pt x="68" y="291"/>
                </a:lnTo>
                <a:lnTo>
                  <a:pt x="77" y="290"/>
                </a:lnTo>
                <a:lnTo>
                  <a:pt x="81" y="289"/>
                </a:lnTo>
                <a:lnTo>
                  <a:pt x="85" y="286"/>
                </a:lnTo>
                <a:lnTo>
                  <a:pt x="89" y="286"/>
                </a:lnTo>
                <a:lnTo>
                  <a:pt x="93" y="287"/>
                </a:lnTo>
                <a:lnTo>
                  <a:pt x="100" y="289"/>
                </a:lnTo>
                <a:lnTo>
                  <a:pt x="105" y="291"/>
                </a:lnTo>
                <a:lnTo>
                  <a:pt x="109" y="293"/>
                </a:lnTo>
                <a:lnTo>
                  <a:pt x="113" y="297"/>
                </a:lnTo>
                <a:lnTo>
                  <a:pt x="114" y="302"/>
                </a:lnTo>
                <a:lnTo>
                  <a:pt x="122" y="302"/>
                </a:lnTo>
                <a:lnTo>
                  <a:pt x="126" y="303"/>
                </a:lnTo>
                <a:lnTo>
                  <a:pt x="139" y="299"/>
                </a:lnTo>
                <a:lnTo>
                  <a:pt x="143" y="302"/>
                </a:lnTo>
                <a:lnTo>
                  <a:pt x="147" y="306"/>
                </a:lnTo>
                <a:lnTo>
                  <a:pt x="151" y="307"/>
                </a:lnTo>
                <a:lnTo>
                  <a:pt x="156" y="307"/>
                </a:lnTo>
                <a:lnTo>
                  <a:pt x="164" y="305"/>
                </a:lnTo>
                <a:lnTo>
                  <a:pt x="172" y="303"/>
                </a:lnTo>
                <a:lnTo>
                  <a:pt x="185" y="303"/>
                </a:lnTo>
                <a:lnTo>
                  <a:pt x="189" y="301"/>
                </a:lnTo>
                <a:lnTo>
                  <a:pt x="192" y="302"/>
                </a:lnTo>
                <a:lnTo>
                  <a:pt x="202" y="302"/>
                </a:lnTo>
                <a:lnTo>
                  <a:pt x="206" y="305"/>
                </a:lnTo>
                <a:lnTo>
                  <a:pt x="211" y="305"/>
                </a:lnTo>
                <a:lnTo>
                  <a:pt x="215" y="302"/>
                </a:lnTo>
                <a:lnTo>
                  <a:pt x="256" y="315"/>
                </a:lnTo>
                <a:lnTo>
                  <a:pt x="308" y="329"/>
                </a:lnTo>
                <a:lnTo>
                  <a:pt x="307" y="323"/>
                </a:lnTo>
                <a:lnTo>
                  <a:pt x="309" y="307"/>
                </a:lnTo>
                <a:lnTo>
                  <a:pt x="306" y="295"/>
                </a:lnTo>
                <a:lnTo>
                  <a:pt x="308" y="290"/>
                </a:lnTo>
                <a:lnTo>
                  <a:pt x="309" y="273"/>
                </a:lnTo>
                <a:lnTo>
                  <a:pt x="341" y="80"/>
                </a:lnTo>
                <a:lnTo>
                  <a:pt x="341" y="77"/>
                </a:lnTo>
                <a:lnTo>
                  <a:pt x="300" y="65"/>
                </a:lnTo>
                <a:lnTo>
                  <a:pt x="225" y="42"/>
                </a:lnTo>
                <a:lnTo>
                  <a:pt x="159" y="20"/>
                </a:lnTo>
                <a:lnTo>
                  <a:pt x="101" y="0"/>
                </a:lnTo>
                <a:lnTo>
                  <a:pt x="98" y="4"/>
                </a:lnTo>
                <a:lnTo>
                  <a:pt x="99" y="9"/>
                </a:lnTo>
                <a:lnTo>
                  <a:pt x="101" y="14"/>
                </a:lnTo>
                <a:lnTo>
                  <a:pt x="101" y="16"/>
                </a:lnTo>
                <a:lnTo>
                  <a:pt x="104" y="22"/>
                </a:lnTo>
                <a:lnTo>
                  <a:pt x="108" y="25"/>
                </a:lnTo>
                <a:lnTo>
                  <a:pt x="107" y="30"/>
                </a:lnTo>
                <a:lnTo>
                  <a:pt x="107" y="36"/>
                </a:lnTo>
                <a:lnTo>
                  <a:pt x="107" y="40"/>
                </a:lnTo>
                <a:lnTo>
                  <a:pt x="103" y="37"/>
                </a:lnTo>
                <a:lnTo>
                  <a:pt x="105" y="42"/>
                </a:lnTo>
                <a:lnTo>
                  <a:pt x="103" y="49"/>
                </a:lnTo>
                <a:lnTo>
                  <a:pt x="99" y="45"/>
                </a:lnTo>
                <a:lnTo>
                  <a:pt x="96" y="45"/>
                </a:lnTo>
                <a:lnTo>
                  <a:pt x="96" y="50"/>
                </a:lnTo>
                <a:lnTo>
                  <a:pt x="100" y="50"/>
                </a:lnTo>
                <a:lnTo>
                  <a:pt x="101" y="56"/>
                </a:lnTo>
                <a:lnTo>
                  <a:pt x="105" y="62"/>
                </a:lnTo>
                <a:lnTo>
                  <a:pt x="104" y="66"/>
                </a:lnTo>
                <a:lnTo>
                  <a:pt x="104" y="69"/>
                </a:lnTo>
                <a:lnTo>
                  <a:pt x="103" y="80"/>
                </a:lnTo>
                <a:lnTo>
                  <a:pt x="106" y="85"/>
                </a:lnTo>
                <a:lnTo>
                  <a:pt x="106" y="92"/>
                </a:lnTo>
                <a:lnTo>
                  <a:pt x="102" y="97"/>
                </a:lnTo>
                <a:lnTo>
                  <a:pt x="97" y="104"/>
                </a:lnTo>
                <a:lnTo>
                  <a:pt x="97" y="109"/>
                </a:lnTo>
                <a:lnTo>
                  <a:pt x="93" y="113"/>
                </a:lnTo>
                <a:lnTo>
                  <a:pt x="96" y="118"/>
                </a:lnTo>
                <a:lnTo>
                  <a:pt x="93" y="124"/>
                </a:lnTo>
                <a:lnTo>
                  <a:pt x="93" y="136"/>
                </a:lnTo>
                <a:lnTo>
                  <a:pt x="89" y="141"/>
                </a:lnTo>
                <a:lnTo>
                  <a:pt x="81" y="145"/>
                </a:lnTo>
                <a:lnTo>
                  <a:pt x="79" y="149"/>
                </a:lnTo>
                <a:lnTo>
                  <a:pt x="75" y="153"/>
                </a:lnTo>
                <a:lnTo>
                  <a:pt x="71" y="154"/>
                </a:lnTo>
                <a:lnTo>
                  <a:pt x="69" y="148"/>
                </a:lnTo>
                <a:lnTo>
                  <a:pt x="64" y="150"/>
                </a:lnTo>
                <a:lnTo>
                  <a:pt x="64" y="157"/>
                </a:lnTo>
                <a:lnTo>
                  <a:pt x="61" y="153"/>
                </a:lnTo>
                <a:lnTo>
                  <a:pt x="62" y="148"/>
                </a:lnTo>
                <a:lnTo>
                  <a:pt x="58" y="146"/>
                </a:lnTo>
                <a:lnTo>
                  <a:pt x="62" y="145"/>
                </a:lnTo>
                <a:lnTo>
                  <a:pt x="65" y="140"/>
                </a:lnTo>
                <a:lnTo>
                  <a:pt x="73" y="132"/>
                </a:lnTo>
                <a:lnTo>
                  <a:pt x="72" y="138"/>
                </a:lnTo>
                <a:lnTo>
                  <a:pt x="70" y="144"/>
                </a:lnTo>
                <a:lnTo>
                  <a:pt x="71" y="149"/>
                </a:lnTo>
                <a:lnTo>
                  <a:pt x="72" y="146"/>
                </a:lnTo>
                <a:lnTo>
                  <a:pt x="73" y="141"/>
                </a:lnTo>
                <a:lnTo>
                  <a:pt x="76" y="136"/>
                </a:lnTo>
                <a:lnTo>
                  <a:pt x="80" y="134"/>
                </a:lnTo>
                <a:lnTo>
                  <a:pt x="76" y="140"/>
                </a:lnTo>
                <a:lnTo>
                  <a:pt x="81" y="144"/>
                </a:lnTo>
                <a:lnTo>
                  <a:pt x="87" y="124"/>
                </a:lnTo>
                <a:lnTo>
                  <a:pt x="85" y="118"/>
                </a:lnTo>
                <a:lnTo>
                  <a:pt x="81" y="120"/>
                </a:lnTo>
                <a:lnTo>
                  <a:pt x="81" y="113"/>
                </a:lnTo>
                <a:lnTo>
                  <a:pt x="85" y="116"/>
                </a:lnTo>
                <a:lnTo>
                  <a:pt x="86" y="110"/>
                </a:lnTo>
                <a:lnTo>
                  <a:pt x="85" y="104"/>
                </a:lnTo>
                <a:lnTo>
                  <a:pt x="89" y="105"/>
                </a:lnTo>
                <a:lnTo>
                  <a:pt x="93" y="102"/>
                </a:lnTo>
                <a:lnTo>
                  <a:pt x="93" y="96"/>
                </a:lnTo>
                <a:lnTo>
                  <a:pt x="91" y="90"/>
                </a:lnTo>
                <a:lnTo>
                  <a:pt x="81" y="102"/>
                </a:lnTo>
                <a:lnTo>
                  <a:pt x="78" y="109"/>
                </a:lnTo>
                <a:lnTo>
                  <a:pt x="70" y="112"/>
                </a:lnTo>
                <a:lnTo>
                  <a:pt x="61" y="122"/>
                </a:lnTo>
                <a:lnTo>
                  <a:pt x="62" y="128"/>
                </a:lnTo>
                <a:lnTo>
                  <a:pt x="66" y="126"/>
                </a:lnTo>
                <a:lnTo>
                  <a:pt x="70" y="128"/>
                </a:lnTo>
                <a:lnTo>
                  <a:pt x="62" y="129"/>
                </a:lnTo>
                <a:lnTo>
                  <a:pt x="58" y="125"/>
                </a:lnTo>
                <a:lnTo>
                  <a:pt x="61" y="120"/>
                </a:lnTo>
                <a:lnTo>
                  <a:pt x="69" y="110"/>
                </a:lnTo>
                <a:lnTo>
                  <a:pt x="73" y="106"/>
                </a:lnTo>
                <a:lnTo>
                  <a:pt x="81" y="94"/>
                </a:lnTo>
                <a:lnTo>
                  <a:pt x="79" y="100"/>
                </a:lnTo>
                <a:lnTo>
                  <a:pt x="79" y="105"/>
                </a:lnTo>
                <a:lnTo>
                  <a:pt x="81" y="100"/>
                </a:lnTo>
                <a:lnTo>
                  <a:pt x="86" y="94"/>
                </a:lnTo>
                <a:lnTo>
                  <a:pt x="87" y="88"/>
                </a:lnTo>
                <a:lnTo>
                  <a:pt x="85" y="74"/>
                </a:lnTo>
                <a:lnTo>
                  <a:pt x="86" y="68"/>
                </a:lnTo>
                <a:lnTo>
                  <a:pt x="82" y="72"/>
                </a:lnTo>
                <a:lnTo>
                  <a:pt x="81" y="78"/>
                </a:lnTo>
                <a:lnTo>
                  <a:pt x="79" y="69"/>
                </a:lnTo>
                <a:lnTo>
                  <a:pt x="74" y="72"/>
                </a:lnTo>
                <a:lnTo>
                  <a:pt x="74" y="66"/>
                </a:lnTo>
                <a:lnTo>
                  <a:pt x="73" y="61"/>
                </a:lnTo>
                <a:lnTo>
                  <a:pt x="69" y="62"/>
                </a:lnTo>
                <a:lnTo>
                  <a:pt x="64" y="62"/>
                </a:lnTo>
                <a:lnTo>
                  <a:pt x="60" y="58"/>
                </a:lnTo>
                <a:lnTo>
                  <a:pt x="51" y="56"/>
                </a:lnTo>
                <a:lnTo>
                  <a:pt x="47" y="52"/>
                </a:lnTo>
                <a:lnTo>
                  <a:pt x="39" y="49"/>
                </a:lnTo>
                <a:lnTo>
                  <a:pt x="33" y="44"/>
                </a:lnTo>
                <a:lnTo>
                  <a:pt x="30" y="38"/>
                </a:lnTo>
                <a:lnTo>
                  <a:pt x="26" y="36"/>
                </a:lnTo>
                <a:lnTo>
                  <a:pt x="21" y="30"/>
                </a:lnTo>
                <a:lnTo>
                  <a:pt x="14" y="21"/>
                </a:lnTo>
                <a:lnTo>
                  <a:pt x="9" y="17"/>
                </a:lnTo>
                <a:lnTo>
                  <a:pt x="11" y="25"/>
                </a:lnTo>
                <a:lnTo>
                  <a:pt x="9" y="26"/>
                </a:lnTo>
                <a:lnTo>
                  <a:pt x="8" y="32"/>
                </a:lnTo>
                <a:lnTo>
                  <a:pt x="5" y="37"/>
                </a:lnTo>
                <a:lnTo>
                  <a:pt x="6" y="42"/>
                </a:lnTo>
                <a:lnTo>
                  <a:pt x="5" y="48"/>
                </a:lnTo>
                <a:lnTo>
                  <a:pt x="5" y="54"/>
                </a:lnTo>
                <a:lnTo>
                  <a:pt x="5" y="60"/>
                </a:lnTo>
                <a:lnTo>
                  <a:pt x="9" y="66"/>
                </a:lnTo>
                <a:lnTo>
                  <a:pt x="11" y="77"/>
                </a:lnTo>
                <a:lnTo>
                  <a:pt x="11" y="82"/>
                </a:lnTo>
                <a:lnTo>
                  <a:pt x="9" y="105"/>
                </a:lnTo>
                <a:lnTo>
                  <a:pt x="11" y="118"/>
                </a:lnTo>
                <a:lnTo>
                  <a:pt x="9" y="136"/>
                </a:lnTo>
                <a:lnTo>
                  <a:pt x="8" y="141"/>
                </a:lnTo>
                <a:lnTo>
                  <a:pt x="9" y="142"/>
                </a:lnTo>
                <a:lnTo>
                  <a:pt x="11" y="137"/>
                </a:lnTo>
                <a:lnTo>
                  <a:pt x="14" y="141"/>
                </a:lnTo>
                <a:lnTo>
                  <a:pt x="18" y="148"/>
                </a:lnTo>
                <a:lnTo>
                  <a:pt x="22" y="149"/>
                </a:lnTo>
                <a:lnTo>
                  <a:pt x="16" y="150"/>
                </a:lnTo>
                <a:lnTo>
                  <a:pt x="9" y="154"/>
                </a:lnTo>
                <a:lnTo>
                  <a:pt x="9" y="149"/>
                </a:lnTo>
                <a:lnTo>
                  <a:pt x="7" y="160"/>
                </a:lnTo>
                <a:lnTo>
                  <a:pt x="8" y="166"/>
                </a:lnTo>
                <a:lnTo>
                  <a:pt x="9" y="165"/>
                </a:lnTo>
                <a:lnTo>
                  <a:pt x="17" y="169"/>
                </a:lnTo>
                <a:lnTo>
                  <a:pt x="19" y="174"/>
                </a:lnTo>
                <a:lnTo>
                  <a:pt x="18" y="174"/>
                </a:lnTo>
                <a:lnTo>
                  <a:pt x="13" y="172"/>
                </a:lnTo>
                <a:lnTo>
                  <a:pt x="11" y="177"/>
                </a:lnTo>
                <a:lnTo>
                  <a:pt x="12" y="182"/>
                </a:lnTo>
                <a:lnTo>
                  <a:pt x="9" y="188"/>
                </a:lnTo>
                <a:lnTo>
                  <a:pt x="11" y="193"/>
                </a:lnTo>
                <a:lnTo>
                  <a:pt x="11" y="194"/>
                </a:lnTo>
                <a:lnTo>
                  <a:pt x="9" y="190"/>
                </a:lnTo>
                <a:lnTo>
                  <a:pt x="5" y="190"/>
                </a:lnTo>
                <a:lnTo>
                  <a:pt x="6" y="180"/>
                </a:lnTo>
                <a:lnTo>
                  <a:pt x="5" y="174"/>
                </a:lnTo>
                <a:lnTo>
                  <a:pt x="0" y="202"/>
                </a:lnTo>
                <a:lnTo>
                  <a:pt x="4" y="202"/>
                </a:lnTo>
                <a:lnTo>
                  <a:pt x="7" y="208"/>
                </a:lnTo>
                <a:lnTo>
                  <a:pt x="16" y="205"/>
                </a:lnTo>
                <a:lnTo>
                  <a:pt x="18" y="210"/>
                </a:lnTo>
                <a:lnTo>
                  <a:pt x="22" y="212"/>
                </a:lnTo>
                <a:lnTo>
                  <a:pt x="24" y="212"/>
                </a:lnTo>
                <a:lnTo>
                  <a:pt x="24" y="212"/>
                </a:lnTo>
                <a:lnTo>
                  <a:pt x="24" y="212"/>
                </a:lnTo>
                <a:close/>
              </a:path>
            </a:pathLst>
          </a:custGeom>
          <a:solidFill>
            <a:srgbClr val="E75936">
              <a:alpha val="73827"/>
            </a:srgbClr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7A6403C9-846E-404B-8A03-5C7F65D51B50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24">
        <xdr:nvSpPr>
          <xdr:cNvPr id="535" name="MI">
            <a:extLst>
              <a:ext uri="{FF2B5EF4-FFF2-40B4-BE49-F238E27FC236}">
                <a16:creationId xmlns:a16="http://schemas.microsoft.com/office/drawing/2014/main" id="{00000000-0008-0000-0100-000017020000}"/>
              </a:ext>
            </a:extLst>
          </xdr:cNvPr>
          <xdr:cNvSpPr>
            <a:spLocks/>
          </xdr:cNvSpPr>
        </xdr:nvSpPr>
        <xdr:spPr bwMode="auto">
          <a:xfrm>
            <a:off x="4133028" y="2005071"/>
            <a:ext cx="634521" cy="546847"/>
          </a:xfrm>
          <a:custGeom>
            <a:avLst/>
            <a:gdLst>
              <a:gd name="connsiteX0" fmla="*/ 418373 w 635663"/>
              <a:gd name="connsiteY0" fmla="*/ 114542 h 546847"/>
              <a:gd name="connsiteX1" fmla="*/ 424958 w 635663"/>
              <a:gd name="connsiteY1" fmla="*/ 118125 h 546847"/>
              <a:gd name="connsiteX2" fmla="*/ 431542 w 635663"/>
              <a:gd name="connsiteY2" fmla="*/ 119319 h 546847"/>
              <a:gd name="connsiteX3" fmla="*/ 438127 w 635663"/>
              <a:gd name="connsiteY3" fmla="*/ 124096 h 546847"/>
              <a:gd name="connsiteX4" fmla="*/ 444712 w 635663"/>
              <a:gd name="connsiteY4" fmla="*/ 124096 h 546847"/>
              <a:gd name="connsiteX5" fmla="*/ 451296 w 635663"/>
              <a:gd name="connsiteY5" fmla="*/ 122902 h 546847"/>
              <a:gd name="connsiteX6" fmla="*/ 456234 w 635663"/>
              <a:gd name="connsiteY6" fmla="*/ 126484 h 546847"/>
              <a:gd name="connsiteX7" fmla="*/ 462819 w 635663"/>
              <a:gd name="connsiteY7" fmla="*/ 128873 h 546847"/>
              <a:gd name="connsiteX8" fmla="*/ 467757 w 635663"/>
              <a:gd name="connsiteY8" fmla="*/ 136038 h 546847"/>
              <a:gd name="connsiteX9" fmla="*/ 474342 w 635663"/>
              <a:gd name="connsiteY9" fmla="*/ 137232 h 546847"/>
              <a:gd name="connsiteX10" fmla="*/ 480926 w 635663"/>
              <a:gd name="connsiteY10" fmla="*/ 137232 h 546847"/>
              <a:gd name="connsiteX11" fmla="*/ 487511 w 635663"/>
              <a:gd name="connsiteY11" fmla="*/ 140815 h 546847"/>
              <a:gd name="connsiteX12" fmla="*/ 502326 w 635663"/>
              <a:gd name="connsiteY12" fmla="*/ 145592 h 546847"/>
              <a:gd name="connsiteX13" fmla="*/ 508911 w 635663"/>
              <a:gd name="connsiteY13" fmla="*/ 147980 h 546847"/>
              <a:gd name="connsiteX14" fmla="*/ 515495 w 635663"/>
              <a:gd name="connsiteY14" fmla="*/ 147980 h 546847"/>
              <a:gd name="connsiteX15" fmla="*/ 523726 w 635663"/>
              <a:gd name="connsiteY15" fmla="*/ 151563 h 546847"/>
              <a:gd name="connsiteX16" fmla="*/ 525372 w 635663"/>
              <a:gd name="connsiteY16" fmla="*/ 157534 h 546847"/>
              <a:gd name="connsiteX17" fmla="*/ 530311 w 635663"/>
              <a:gd name="connsiteY17" fmla="*/ 164699 h 546847"/>
              <a:gd name="connsiteX18" fmla="*/ 535249 w 635663"/>
              <a:gd name="connsiteY18" fmla="*/ 167087 h 546847"/>
              <a:gd name="connsiteX19" fmla="*/ 535249 w 635663"/>
              <a:gd name="connsiteY19" fmla="*/ 174253 h 546847"/>
              <a:gd name="connsiteX20" fmla="*/ 528664 w 635663"/>
              <a:gd name="connsiteY20" fmla="*/ 175447 h 546847"/>
              <a:gd name="connsiteX21" fmla="*/ 525372 w 635663"/>
              <a:gd name="connsiteY21" fmla="*/ 183806 h 546847"/>
              <a:gd name="connsiteX22" fmla="*/ 528664 w 635663"/>
              <a:gd name="connsiteY22" fmla="*/ 189778 h 546847"/>
              <a:gd name="connsiteX23" fmla="*/ 536895 w 635663"/>
              <a:gd name="connsiteY23" fmla="*/ 194554 h 546847"/>
              <a:gd name="connsiteX24" fmla="*/ 540187 w 635663"/>
              <a:gd name="connsiteY24" fmla="*/ 200525 h 546847"/>
              <a:gd name="connsiteX25" fmla="*/ 543480 w 635663"/>
              <a:gd name="connsiteY25" fmla="*/ 213662 h 546847"/>
              <a:gd name="connsiteX26" fmla="*/ 541834 w 635663"/>
              <a:gd name="connsiteY26" fmla="*/ 226798 h 546847"/>
              <a:gd name="connsiteX27" fmla="*/ 545126 w 635663"/>
              <a:gd name="connsiteY27" fmla="*/ 248294 h 546847"/>
              <a:gd name="connsiteX28" fmla="*/ 538541 w 635663"/>
              <a:gd name="connsiteY28" fmla="*/ 255459 h 546847"/>
              <a:gd name="connsiteX29" fmla="*/ 531957 w 635663"/>
              <a:gd name="connsiteY29" fmla="*/ 257848 h 546847"/>
              <a:gd name="connsiteX30" fmla="*/ 530311 w 635663"/>
              <a:gd name="connsiteY30" fmla="*/ 265013 h 546847"/>
              <a:gd name="connsiteX31" fmla="*/ 528664 w 635663"/>
              <a:gd name="connsiteY31" fmla="*/ 276955 h 546847"/>
              <a:gd name="connsiteX32" fmla="*/ 522080 w 635663"/>
              <a:gd name="connsiteY32" fmla="*/ 288897 h 546847"/>
              <a:gd name="connsiteX33" fmla="*/ 515495 w 635663"/>
              <a:gd name="connsiteY33" fmla="*/ 290091 h 546847"/>
              <a:gd name="connsiteX34" fmla="*/ 508911 w 635663"/>
              <a:gd name="connsiteY34" fmla="*/ 294868 h 546847"/>
              <a:gd name="connsiteX35" fmla="*/ 507265 w 635663"/>
              <a:gd name="connsiteY35" fmla="*/ 308005 h 546847"/>
              <a:gd name="connsiteX36" fmla="*/ 507265 w 635663"/>
              <a:gd name="connsiteY36" fmla="*/ 317558 h 546847"/>
              <a:gd name="connsiteX37" fmla="*/ 515495 w 635663"/>
              <a:gd name="connsiteY37" fmla="*/ 324724 h 546847"/>
              <a:gd name="connsiteX38" fmla="*/ 523726 w 635663"/>
              <a:gd name="connsiteY38" fmla="*/ 327112 h 546847"/>
              <a:gd name="connsiteX39" fmla="*/ 530311 w 635663"/>
              <a:gd name="connsiteY39" fmla="*/ 328306 h 546847"/>
              <a:gd name="connsiteX40" fmla="*/ 535249 w 635663"/>
              <a:gd name="connsiteY40" fmla="*/ 322335 h 546847"/>
              <a:gd name="connsiteX41" fmla="*/ 538541 w 635663"/>
              <a:gd name="connsiteY41" fmla="*/ 315170 h 546847"/>
              <a:gd name="connsiteX42" fmla="*/ 545126 w 635663"/>
              <a:gd name="connsiteY42" fmla="*/ 310393 h 546847"/>
              <a:gd name="connsiteX43" fmla="*/ 548418 w 635663"/>
              <a:gd name="connsiteY43" fmla="*/ 299645 h 546847"/>
              <a:gd name="connsiteX44" fmla="*/ 546772 w 635663"/>
              <a:gd name="connsiteY44" fmla="*/ 293674 h 546847"/>
              <a:gd name="connsiteX45" fmla="*/ 553356 w 635663"/>
              <a:gd name="connsiteY45" fmla="*/ 290091 h 546847"/>
              <a:gd name="connsiteX46" fmla="*/ 559941 w 635663"/>
              <a:gd name="connsiteY46" fmla="*/ 284120 h 546847"/>
              <a:gd name="connsiteX47" fmla="*/ 566526 w 635663"/>
              <a:gd name="connsiteY47" fmla="*/ 280538 h 546847"/>
              <a:gd name="connsiteX48" fmla="*/ 578048 w 635663"/>
              <a:gd name="connsiteY48" fmla="*/ 274567 h 546847"/>
              <a:gd name="connsiteX49" fmla="*/ 584633 w 635663"/>
              <a:gd name="connsiteY49" fmla="*/ 274567 h 546847"/>
              <a:gd name="connsiteX50" fmla="*/ 591218 w 635663"/>
              <a:gd name="connsiteY50" fmla="*/ 276955 h 546847"/>
              <a:gd name="connsiteX51" fmla="*/ 597802 w 635663"/>
              <a:gd name="connsiteY51" fmla="*/ 284120 h 546847"/>
              <a:gd name="connsiteX52" fmla="*/ 606033 w 635663"/>
              <a:gd name="connsiteY52" fmla="*/ 296062 h 546847"/>
              <a:gd name="connsiteX53" fmla="*/ 612617 w 635663"/>
              <a:gd name="connsiteY53" fmla="*/ 323529 h 546847"/>
              <a:gd name="connsiteX54" fmla="*/ 617556 w 635663"/>
              <a:gd name="connsiteY54" fmla="*/ 329500 h 546847"/>
              <a:gd name="connsiteX55" fmla="*/ 620848 w 635663"/>
              <a:gd name="connsiteY55" fmla="*/ 342637 h 546847"/>
              <a:gd name="connsiteX56" fmla="*/ 625786 w 635663"/>
              <a:gd name="connsiteY56" fmla="*/ 356967 h 546847"/>
              <a:gd name="connsiteX57" fmla="*/ 629079 w 635663"/>
              <a:gd name="connsiteY57" fmla="*/ 365327 h 546847"/>
              <a:gd name="connsiteX58" fmla="*/ 635663 w 635663"/>
              <a:gd name="connsiteY58" fmla="*/ 374881 h 546847"/>
              <a:gd name="connsiteX59" fmla="*/ 635663 w 635663"/>
              <a:gd name="connsiteY59" fmla="*/ 380852 h 546847"/>
              <a:gd name="connsiteX60" fmla="*/ 634017 w 635663"/>
              <a:gd name="connsiteY60" fmla="*/ 382046 h 546847"/>
              <a:gd name="connsiteX61" fmla="*/ 632371 w 635663"/>
              <a:gd name="connsiteY61" fmla="*/ 396376 h 546847"/>
              <a:gd name="connsiteX62" fmla="*/ 635663 w 635663"/>
              <a:gd name="connsiteY62" fmla="*/ 401153 h 546847"/>
              <a:gd name="connsiteX63" fmla="*/ 634017 w 635663"/>
              <a:gd name="connsiteY63" fmla="*/ 415484 h 546847"/>
              <a:gd name="connsiteX64" fmla="*/ 629079 w 635663"/>
              <a:gd name="connsiteY64" fmla="*/ 422649 h 546847"/>
              <a:gd name="connsiteX65" fmla="*/ 625786 w 635663"/>
              <a:gd name="connsiteY65" fmla="*/ 423843 h 546847"/>
              <a:gd name="connsiteX66" fmla="*/ 625786 w 635663"/>
              <a:gd name="connsiteY66" fmla="*/ 422649 h 546847"/>
              <a:gd name="connsiteX67" fmla="*/ 624140 w 635663"/>
              <a:gd name="connsiteY67" fmla="*/ 415484 h 546847"/>
              <a:gd name="connsiteX68" fmla="*/ 620848 w 635663"/>
              <a:gd name="connsiteY68" fmla="*/ 410707 h 546847"/>
              <a:gd name="connsiteX69" fmla="*/ 614263 w 635663"/>
              <a:gd name="connsiteY69" fmla="*/ 415484 h 546847"/>
              <a:gd name="connsiteX70" fmla="*/ 612617 w 635663"/>
              <a:gd name="connsiteY70" fmla="*/ 420261 h 546847"/>
              <a:gd name="connsiteX71" fmla="*/ 607679 w 635663"/>
              <a:gd name="connsiteY71" fmla="*/ 427426 h 546847"/>
              <a:gd name="connsiteX72" fmla="*/ 609325 w 635663"/>
              <a:gd name="connsiteY72" fmla="*/ 441756 h 546847"/>
              <a:gd name="connsiteX73" fmla="*/ 602741 w 635663"/>
              <a:gd name="connsiteY73" fmla="*/ 447727 h 546847"/>
              <a:gd name="connsiteX74" fmla="*/ 596156 w 635663"/>
              <a:gd name="connsiteY74" fmla="*/ 453699 h 546847"/>
              <a:gd name="connsiteX75" fmla="*/ 594510 w 635663"/>
              <a:gd name="connsiteY75" fmla="*/ 456087 h 546847"/>
              <a:gd name="connsiteX76" fmla="*/ 592864 w 635663"/>
              <a:gd name="connsiteY76" fmla="*/ 458475 h 546847"/>
              <a:gd name="connsiteX77" fmla="*/ 591218 w 635663"/>
              <a:gd name="connsiteY77" fmla="*/ 465641 h 546847"/>
              <a:gd name="connsiteX78" fmla="*/ 589571 w 635663"/>
              <a:gd name="connsiteY78" fmla="*/ 484748 h 546847"/>
              <a:gd name="connsiteX79" fmla="*/ 578048 w 635663"/>
              <a:gd name="connsiteY79" fmla="*/ 503855 h 546847"/>
              <a:gd name="connsiteX80" fmla="*/ 573110 w 635663"/>
              <a:gd name="connsiteY80" fmla="*/ 518186 h 546847"/>
              <a:gd name="connsiteX81" fmla="*/ 541834 w 635663"/>
              <a:gd name="connsiteY81" fmla="*/ 524157 h 546847"/>
              <a:gd name="connsiteX82" fmla="*/ 469404 w 635663"/>
              <a:gd name="connsiteY82" fmla="*/ 534905 h 546847"/>
              <a:gd name="connsiteX83" fmla="*/ 462819 w 635663"/>
              <a:gd name="connsiteY83" fmla="*/ 528934 h 546847"/>
              <a:gd name="connsiteX84" fmla="*/ 350882 w 635663"/>
              <a:gd name="connsiteY84" fmla="*/ 543265 h 546847"/>
              <a:gd name="connsiteX85" fmla="*/ 313021 w 635663"/>
              <a:gd name="connsiteY85" fmla="*/ 546847 h 546847"/>
              <a:gd name="connsiteX86" fmla="*/ 309728 w 635663"/>
              <a:gd name="connsiteY86" fmla="*/ 546847 h 546847"/>
              <a:gd name="connsiteX87" fmla="*/ 311375 w 635663"/>
              <a:gd name="connsiteY87" fmla="*/ 544459 h 546847"/>
              <a:gd name="connsiteX88" fmla="*/ 317959 w 635663"/>
              <a:gd name="connsiteY88" fmla="*/ 538488 h 546847"/>
              <a:gd name="connsiteX89" fmla="*/ 322897 w 635663"/>
              <a:gd name="connsiteY89" fmla="*/ 530128 h 546847"/>
              <a:gd name="connsiteX90" fmla="*/ 326190 w 635663"/>
              <a:gd name="connsiteY90" fmla="*/ 524157 h 546847"/>
              <a:gd name="connsiteX91" fmla="*/ 332774 w 635663"/>
              <a:gd name="connsiteY91" fmla="*/ 505050 h 546847"/>
              <a:gd name="connsiteX92" fmla="*/ 339359 w 635663"/>
              <a:gd name="connsiteY92" fmla="*/ 491913 h 546847"/>
              <a:gd name="connsiteX93" fmla="*/ 342651 w 635663"/>
              <a:gd name="connsiteY93" fmla="*/ 484748 h 546847"/>
              <a:gd name="connsiteX94" fmla="*/ 345943 w 635663"/>
              <a:gd name="connsiteY94" fmla="*/ 460864 h 546847"/>
              <a:gd name="connsiteX95" fmla="*/ 345943 w 635663"/>
              <a:gd name="connsiteY95" fmla="*/ 441756 h 546847"/>
              <a:gd name="connsiteX96" fmla="*/ 342651 w 635663"/>
              <a:gd name="connsiteY96" fmla="*/ 414290 h 546847"/>
              <a:gd name="connsiteX97" fmla="*/ 332774 w 635663"/>
              <a:gd name="connsiteY97" fmla="*/ 393988 h 546847"/>
              <a:gd name="connsiteX98" fmla="*/ 337713 w 635663"/>
              <a:gd name="connsiteY98" fmla="*/ 386823 h 546847"/>
              <a:gd name="connsiteX99" fmla="*/ 331128 w 635663"/>
              <a:gd name="connsiteY99" fmla="*/ 390405 h 546847"/>
              <a:gd name="connsiteX100" fmla="*/ 311375 w 635663"/>
              <a:gd name="connsiteY100" fmla="*/ 355773 h 546847"/>
              <a:gd name="connsiteX101" fmla="*/ 309728 w 635663"/>
              <a:gd name="connsiteY101" fmla="*/ 348608 h 546847"/>
              <a:gd name="connsiteX102" fmla="*/ 313021 w 635663"/>
              <a:gd name="connsiteY102" fmla="*/ 342637 h 546847"/>
              <a:gd name="connsiteX103" fmla="*/ 317959 w 635663"/>
              <a:gd name="connsiteY103" fmla="*/ 336666 h 546847"/>
              <a:gd name="connsiteX104" fmla="*/ 311375 w 635663"/>
              <a:gd name="connsiteY104" fmla="*/ 315170 h 546847"/>
              <a:gd name="connsiteX105" fmla="*/ 308082 w 635663"/>
              <a:gd name="connsiteY105" fmla="*/ 309199 h 546847"/>
              <a:gd name="connsiteX106" fmla="*/ 308082 w 635663"/>
              <a:gd name="connsiteY106" fmla="*/ 303228 h 546847"/>
              <a:gd name="connsiteX107" fmla="*/ 314667 w 635663"/>
              <a:gd name="connsiteY107" fmla="*/ 296062 h 546847"/>
              <a:gd name="connsiteX108" fmla="*/ 322897 w 635663"/>
              <a:gd name="connsiteY108" fmla="*/ 276955 h 546847"/>
              <a:gd name="connsiteX109" fmla="*/ 322897 w 635663"/>
              <a:gd name="connsiteY109" fmla="*/ 269790 h 546847"/>
              <a:gd name="connsiteX110" fmla="*/ 321251 w 635663"/>
              <a:gd name="connsiteY110" fmla="*/ 262625 h 546847"/>
              <a:gd name="connsiteX111" fmla="*/ 322897 w 635663"/>
              <a:gd name="connsiteY111" fmla="*/ 251877 h 546847"/>
              <a:gd name="connsiteX112" fmla="*/ 319605 w 635663"/>
              <a:gd name="connsiteY112" fmla="*/ 238740 h 546847"/>
              <a:gd name="connsiteX113" fmla="*/ 326190 w 635663"/>
              <a:gd name="connsiteY113" fmla="*/ 233963 h 546847"/>
              <a:gd name="connsiteX114" fmla="*/ 331128 w 635663"/>
              <a:gd name="connsiteY114" fmla="*/ 227992 h 546847"/>
              <a:gd name="connsiteX115" fmla="*/ 331128 w 635663"/>
              <a:gd name="connsiteY115" fmla="*/ 222021 h 546847"/>
              <a:gd name="connsiteX116" fmla="*/ 339359 w 635663"/>
              <a:gd name="connsiteY116" fmla="*/ 208885 h 546847"/>
              <a:gd name="connsiteX117" fmla="*/ 345943 w 635663"/>
              <a:gd name="connsiteY117" fmla="*/ 210079 h 546847"/>
              <a:gd name="connsiteX118" fmla="*/ 350882 w 635663"/>
              <a:gd name="connsiteY118" fmla="*/ 205302 h 546847"/>
              <a:gd name="connsiteX119" fmla="*/ 352528 w 635663"/>
              <a:gd name="connsiteY119" fmla="*/ 199331 h 546847"/>
              <a:gd name="connsiteX120" fmla="*/ 357466 w 635663"/>
              <a:gd name="connsiteY120" fmla="*/ 193360 h 546847"/>
              <a:gd name="connsiteX121" fmla="*/ 359112 w 635663"/>
              <a:gd name="connsiteY121" fmla="*/ 186195 h 546847"/>
              <a:gd name="connsiteX122" fmla="*/ 365697 w 635663"/>
              <a:gd name="connsiteY122" fmla="*/ 180224 h 546847"/>
              <a:gd name="connsiteX123" fmla="*/ 364051 w 635663"/>
              <a:gd name="connsiteY123" fmla="*/ 199331 h 546847"/>
              <a:gd name="connsiteX124" fmla="*/ 362405 w 635663"/>
              <a:gd name="connsiteY124" fmla="*/ 204108 h 546847"/>
              <a:gd name="connsiteX125" fmla="*/ 365697 w 635663"/>
              <a:gd name="connsiteY125" fmla="*/ 210079 h 546847"/>
              <a:gd name="connsiteX126" fmla="*/ 362405 w 635663"/>
              <a:gd name="connsiteY126" fmla="*/ 217244 h 546847"/>
              <a:gd name="connsiteX127" fmla="*/ 364051 w 635663"/>
              <a:gd name="connsiteY127" fmla="*/ 223215 h 546847"/>
              <a:gd name="connsiteX128" fmla="*/ 368989 w 635663"/>
              <a:gd name="connsiteY128" fmla="*/ 217244 h 546847"/>
              <a:gd name="connsiteX129" fmla="*/ 370635 w 635663"/>
              <a:gd name="connsiteY129" fmla="*/ 204108 h 546847"/>
              <a:gd name="connsiteX130" fmla="*/ 373928 w 635663"/>
              <a:gd name="connsiteY130" fmla="*/ 202914 h 546847"/>
              <a:gd name="connsiteX131" fmla="*/ 373928 w 635663"/>
              <a:gd name="connsiteY131" fmla="*/ 217244 h 546847"/>
              <a:gd name="connsiteX132" fmla="*/ 372282 w 635663"/>
              <a:gd name="connsiteY132" fmla="*/ 223215 h 546847"/>
              <a:gd name="connsiteX133" fmla="*/ 377220 w 635663"/>
              <a:gd name="connsiteY133" fmla="*/ 217244 h 546847"/>
              <a:gd name="connsiteX134" fmla="*/ 378866 w 635663"/>
              <a:gd name="connsiteY134" fmla="*/ 208885 h 546847"/>
              <a:gd name="connsiteX135" fmla="*/ 380512 w 635663"/>
              <a:gd name="connsiteY135" fmla="*/ 202914 h 546847"/>
              <a:gd name="connsiteX136" fmla="*/ 380512 w 635663"/>
              <a:gd name="connsiteY136" fmla="*/ 195749 h 546847"/>
              <a:gd name="connsiteX137" fmla="*/ 377220 w 635663"/>
              <a:gd name="connsiteY137" fmla="*/ 175447 h 546847"/>
              <a:gd name="connsiteX138" fmla="*/ 382158 w 635663"/>
              <a:gd name="connsiteY138" fmla="*/ 169476 h 546847"/>
              <a:gd name="connsiteX139" fmla="*/ 388743 w 635663"/>
              <a:gd name="connsiteY139" fmla="*/ 164699 h 546847"/>
              <a:gd name="connsiteX140" fmla="*/ 395327 w 635663"/>
              <a:gd name="connsiteY140" fmla="*/ 159922 h 546847"/>
              <a:gd name="connsiteX141" fmla="*/ 405204 w 635663"/>
              <a:gd name="connsiteY141" fmla="*/ 159922 h 546847"/>
              <a:gd name="connsiteX142" fmla="*/ 405204 w 635663"/>
              <a:gd name="connsiteY142" fmla="*/ 155145 h 546847"/>
              <a:gd name="connsiteX143" fmla="*/ 398620 w 635663"/>
              <a:gd name="connsiteY143" fmla="*/ 150369 h 546847"/>
              <a:gd name="connsiteX144" fmla="*/ 395327 w 635663"/>
              <a:gd name="connsiteY144" fmla="*/ 143203 h 546847"/>
              <a:gd name="connsiteX145" fmla="*/ 395327 w 635663"/>
              <a:gd name="connsiteY145" fmla="*/ 137232 h 546847"/>
              <a:gd name="connsiteX146" fmla="*/ 401912 w 635663"/>
              <a:gd name="connsiteY146" fmla="*/ 128873 h 546847"/>
              <a:gd name="connsiteX147" fmla="*/ 405204 w 635663"/>
              <a:gd name="connsiteY147" fmla="*/ 122902 h 546847"/>
              <a:gd name="connsiteX148" fmla="*/ 411789 w 635663"/>
              <a:gd name="connsiteY148" fmla="*/ 119319 h 546847"/>
              <a:gd name="connsiteX149" fmla="*/ 119102 w 635663"/>
              <a:gd name="connsiteY149" fmla="*/ 0 h 546847"/>
              <a:gd name="connsiteX150" fmla="*/ 122365 w 635663"/>
              <a:gd name="connsiteY150" fmla="*/ 7094 h 546847"/>
              <a:gd name="connsiteX151" fmla="*/ 127260 w 635663"/>
              <a:gd name="connsiteY151" fmla="*/ 8276 h 546847"/>
              <a:gd name="connsiteX152" fmla="*/ 138680 w 635663"/>
              <a:gd name="connsiteY152" fmla="*/ 22465 h 546847"/>
              <a:gd name="connsiteX153" fmla="*/ 137049 w 635663"/>
              <a:gd name="connsiteY153" fmla="*/ 35471 h 546847"/>
              <a:gd name="connsiteX154" fmla="*/ 138680 w 635663"/>
              <a:gd name="connsiteY154" fmla="*/ 41383 h 546847"/>
              <a:gd name="connsiteX155" fmla="*/ 141944 w 635663"/>
              <a:gd name="connsiteY155" fmla="*/ 37836 h 546847"/>
              <a:gd name="connsiteX156" fmla="*/ 143575 w 635663"/>
              <a:gd name="connsiteY156" fmla="*/ 31924 h 546847"/>
              <a:gd name="connsiteX157" fmla="*/ 150101 w 635663"/>
              <a:gd name="connsiteY157" fmla="*/ 28377 h 546847"/>
              <a:gd name="connsiteX158" fmla="*/ 156627 w 635663"/>
              <a:gd name="connsiteY158" fmla="*/ 22465 h 546847"/>
              <a:gd name="connsiteX159" fmla="*/ 151733 w 635663"/>
              <a:gd name="connsiteY159" fmla="*/ 35471 h 546847"/>
              <a:gd name="connsiteX160" fmla="*/ 154996 w 635663"/>
              <a:gd name="connsiteY160" fmla="*/ 33106 h 546847"/>
              <a:gd name="connsiteX161" fmla="*/ 158259 w 635663"/>
              <a:gd name="connsiteY161" fmla="*/ 27194 h 546847"/>
              <a:gd name="connsiteX162" fmla="*/ 164785 w 635663"/>
              <a:gd name="connsiteY162" fmla="*/ 26012 h 546847"/>
              <a:gd name="connsiteX163" fmla="*/ 179469 w 635663"/>
              <a:gd name="connsiteY163" fmla="*/ 26012 h 546847"/>
              <a:gd name="connsiteX164" fmla="*/ 185995 w 635663"/>
              <a:gd name="connsiteY164" fmla="*/ 26012 h 546847"/>
              <a:gd name="connsiteX165" fmla="*/ 192521 w 635663"/>
              <a:gd name="connsiteY165" fmla="*/ 31924 h 546847"/>
              <a:gd name="connsiteX166" fmla="*/ 199047 w 635663"/>
              <a:gd name="connsiteY166" fmla="*/ 33106 h 546847"/>
              <a:gd name="connsiteX167" fmla="*/ 202310 w 635663"/>
              <a:gd name="connsiteY167" fmla="*/ 40201 h 546847"/>
              <a:gd name="connsiteX168" fmla="*/ 215363 w 635663"/>
              <a:gd name="connsiteY168" fmla="*/ 52024 h 546847"/>
              <a:gd name="connsiteX169" fmla="*/ 218626 w 635663"/>
              <a:gd name="connsiteY169" fmla="*/ 60301 h 546847"/>
              <a:gd name="connsiteX170" fmla="*/ 226783 w 635663"/>
              <a:gd name="connsiteY170" fmla="*/ 63848 h 546847"/>
              <a:gd name="connsiteX171" fmla="*/ 233310 w 635663"/>
              <a:gd name="connsiteY171" fmla="*/ 61483 h 546847"/>
              <a:gd name="connsiteX172" fmla="*/ 247993 w 635663"/>
              <a:gd name="connsiteY172" fmla="*/ 56754 h 546847"/>
              <a:gd name="connsiteX173" fmla="*/ 254520 w 635663"/>
              <a:gd name="connsiteY173" fmla="*/ 61483 h 546847"/>
              <a:gd name="connsiteX174" fmla="*/ 262677 w 635663"/>
              <a:gd name="connsiteY174" fmla="*/ 63848 h 546847"/>
              <a:gd name="connsiteX175" fmla="*/ 269203 w 635663"/>
              <a:gd name="connsiteY175" fmla="*/ 63848 h 546847"/>
              <a:gd name="connsiteX176" fmla="*/ 274098 w 635663"/>
              <a:gd name="connsiteY176" fmla="*/ 65030 h 546847"/>
              <a:gd name="connsiteX177" fmla="*/ 285519 w 635663"/>
              <a:gd name="connsiteY177" fmla="*/ 52024 h 546847"/>
              <a:gd name="connsiteX178" fmla="*/ 298571 w 635663"/>
              <a:gd name="connsiteY178" fmla="*/ 44930 h 546847"/>
              <a:gd name="connsiteX179" fmla="*/ 305097 w 635663"/>
              <a:gd name="connsiteY179" fmla="*/ 37836 h 546847"/>
              <a:gd name="connsiteX180" fmla="*/ 316518 w 635663"/>
              <a:gd name="connsiteY180" fmla="*/ 35471 h 546847"/>
              <a:gd name="connsiteX181" fmla="*/ 323045 w 635663"/>
              <a:gd name="connsiteY181" fmla="*/ 31924 h 546847"/>
              <a:gd name="connsiteX182" fmla="*/ 350781 w 635663"/>
              <a:gd name="connsiteY182" fmla="*/ 30742 h 546847"/>
              <a:gd name="connsiteX183" fmla="*/ 357307 w 635663"/>
              <a:gd name="connsiteY183" fmla="*/ 28377 h 546847"/>
              <a:gd name="connsiteX184" fmla="*/ 370359 w 635663"/>
              <a:gd name="connsiteY184" fmla="*/ 21283 h 546847"/>
              <a:gd name="connsiteX185" fmla="*/ 376885 w 635663"/>
              <a:gd name="connsiteY185" fmla="*/ 18918 h 546847"/>
              <a:gd name="connsiteX186" fmla="*/ 389938 w 635663"/>
              <a:gd name="connsiteY186" fmla="*/ 17735 h 546847"/>
              <a:gd name="connsiteX187" fmla="*/ 389938 w 635663"/>
              <a:gd name="connsiteY187" fmla="*/ 40201 h 546847"/>
              <a:gd name="connsiteX188" fmla="*/ 393201 w 635663"/>
              <a:gd name="connsiteY188" fmla="*/ 46112 h 546847"/>
              <a:gd name="connsiteX189" fmla="*/ 406253 w 635663"/>
              <a:gd name="connsiteY189" fmla="*/ 47295 h 546847"/>
              <a:gd name="connsiteX190" fmla="*/ 420937 w 635663"/>
              <a:gd name="connsiteY190" fmla="*/ 42565 h 546847"/>
              <a:gd name="connsiteX191" fmla="*/ 424200 w 635663"/>
              <a:gd name="connsiteY191" fmla="*/ 49659 h 546847"/>
              <a:gd name="connsiteX192" fmla="*/ 430726 w 635663"/>
              <a:gd name="connsiteY192" fmla="*/ 46112 h 546847"/>
              <a:gd name="connsiteX193" fmla="*/ 435621 w 635663"/>
              <a:gd name="connsiteY193" fmla="*/ 40201 h 546847"/>
              <a:gd name="connsiteX194" fmla="*/ 440515 w 635663"/>
              <a:gd name="connsiteY194" fmla="*/ 37836 h 546847"/>
              <a:gd name="connsiteX195" fmla="*/ 447041 w 635663"/>
              <a:gd name="connsiteY195" fmla="*/ 44930 h 546847"/>
              <a:gd name="connsiteX196" fmla="*/ 450305 w 635663"/>
              <a:gd name="connsiteY196" fmla="*/ 50842 h 546847"/>
              <a:gd name="connsiteX197" fmla="*/ 453568 w 635663"/>
              <a:gd name="connsiteY197" fmla="*/ 56754 h 546847"/>
              <a:gd name="connsiteX198" fmla="*/ 453568 w 635663"/>
              <a:gd name="connsiteY198" fmla="*/ 65030 h 546847"/>
              <a:gd name="connsiteX199" fmla="*/ 460094 w 635663"/>
              <a:gd name="connsiteY199" fmla="*/ 69760 h 546847"/>
              <a:gd name="connsiteX200" fmla="*/ 461725 w 635663"/>
              <a:gd name="connsiteY200" fmla="*/ 69760 h 546847"/>
              <a:gd name="connsiteX201" fmla="*/ 468251 w 635663"/>
              <a:gd name="connsiteY201" fmla="*/ 73307 h 546847"/>
              <a:gd name="connsiteX202" fmla="*/ 468251 w 635663"/>
              <a:gd name="connsiteY202" fmla="*/ 79219 h 546847"/>
              <a:gd name="connsiteX203" fmla="*/ 476409 w 635663"/>
              <a:gd name="connsiteY203" fmla="*/ 82766 h 546847"/>
              <a:gd name="connsiteX204" fmla="*/ 479672 w 635663"/>
              <a:gd name="connsiteY204" fmla="*/ 88678 h 546847"/>
              <a:gd name="connsiteX205" fmla="*/ 473146 w 635663"/>
              <a:gd name="connsiteY205" fmla="*/ 89860 h 546847"/>
              <a:gd name="connsiteX206" fmla="*/ 442147 w 635663"/>
              <a:gd name="connsiteY206" fmla="*/ 88678 h 546847"/>
              <a:gd name="connsiteX207" fmla="*/ 435621 w 635663"/>
              <a:gd name="connsiteY207" fmla="*/ 92225 h 546847"/>
              <a:gd name="connsiteX208" fmla="*/ 429095 w 635663"/>
              <a:gd name="connsiteY208" fmla="*/ 88678 h 546847"/>
              <a:gd name="connsiteX209" fmla="*/ 422568 w 635663"/>
              <a:gd name="connsiteY209" fmla="*/ 88678 h 546847"/>
              <a:gd name="connsiteX210" fmla="*/ 420937 w 635663"/>
              <a:gd name="connsiteY210" fmla="*/ 96954 h 546847"/>
              <a:gd name="connsiteX211" fmla="*/ 420937 w 635663"/>
              <a:gd name="connsiteY211" fmla="*/ 107596 h 546847"/>
              <a:gd name="connsiteX212" fmla="*/ 414411 w 635663"/>
              <a:gd name="connsiteY212" fmla="*/ 106413 h 546847"/>
              <a:gd name="connsiteX213" fmla="*/ 399727 w 635663"/>
              <a:gd name="connsiteY213" fmla="*/ 94590 h 546847"/>
              <a:gd name="connsiteX214" fmla="*/ 385043 w 635663"/>
              <a:gd name="connsiteY214" fmla="*/ 89860 h 546847"/>
              <a:gd name="connsiteX215" fmla="*/ 378517 w 635663"/>
              <a:gd name="connsiteY215" fmla="*/ 89860 h 546847"/>
              <a:gd name="connsiteX216" fmla="*/ 371991 w 635663"/>
              <a:gd name="connsiteY216" fmla="*/ 88678 h 546847"/>
              <a:gd name="connsiteX217" fmla="*/ 358938 w 635663"/>
              <a:gd name="connsiteY217" fmla="*/ 89860 h 546847"/>
              <a:gd name="connsiteX218" fmla="*/ 354044 w 635663"/>
              <a:gd name="connsiteY218" fmla="*/ 101684 h 546847"/>
              <a:gd name="connsiteX219" fmla="*/ 347518 w 635663"/>
              <a:gd name="connsiteY219" fmla="*/ 104049 h 546847"/>
              <a:gd name="connsiteX220" fmla="*/ 339360 w 635663"/>
              <a:gd name="connsiteY220" fmla="*/ 104049 h 546847"/>
              <a:gd name="connsiteX221" fmla="*/ 326308 w 635663"/>
              <a:gd name="connsiteY221" fmla="*/ 107596 h 546847"/>
              <a:gd name="connsiteX222" fmla="*/ 319782 w 635663"/>
              <a:gd name="connsiteY222" fmla="*/ 107596 h 546847"/>
              <a:gd name="connsiteX223" fmla="*/ 313255 w 635663"/>
              <a:gd name="connsiteY223" fmla="*/ 108778 h 546847"/>
              <a:gd name="connsiteX224" fmla="*/ 308361 w 635663"/>
              <a:gd name="connsiteY224" fmla="*/ 112325 h 546847"/>
              <a:gd name="connsiteX225" fmla="*/ 303466 w 635663"/>
              <a:gd name="connsiteY225" fmla="*/ 118237 h 546847"/>
              <a:gd name="connsiteX226" fmla="*/ 303466 w 635663"/>
              <a:gd name="connsiteY226" fmla="*/ 125332 h 546847"/>
              <a:gd name="connsiteX227" fmla="*/ 295308 w 635663"/>
              <a:gd name="connsiteY227" fmla="*/ 131243 h 546847"/>
              <a:gd name="connsiteX228" fmla="*/ 288782 w 635663"/>
              <a:gd name="connsiteY228" fmla="*/ 137155 h 546847"/>
              <a:gd name="connsiteX229" fmla="*/ 285519 w 635663"/>
              <a:gd name="connsiteY229" fmla="*/ 144249 h 546847"/>
              <a:gd name="connsiteX230" fmla="*/ 278993 w 635663"/>
              <a:gd name="connsiteY230" fmla="*/ 144249 h 546847"/>
              <a:gd name="connsiteX231" fmla="*/ 282256 w 635663"/>
              <a:gd name="connsiteY231" fmla="*/ 134790 h 546847"/>
              <a:gd name="connsiteX232" fmla="*/ 288782 w 635663"/>
              <a:gd name="connsiteY232" fmla="*/ 130061 h 546847"/>
              <a:gd name="connsiteX233" fmla="*/ 288782 w 635663"/>
              <a:gd name="connsiteY233" fmla="*/ 122967 h 546847"/>
              <a:gd name="connsiteX234" fmla="*/ 282256 w 635663"/>
              <a:gd name="connsiteY234" fmla="*/ 121784 h 546847"/>
              <a:gd name="connsiteX235" fmla="*/ 275730 w 635663"/>
              <a:gd name="connsiteY235" fmla="*/ 125332 h 546847"/>
              <a:gd name="connsiteX236" fmla="*/ 269203 w 635663"/>
              <a:gd name="connsiteY236" fmla="*/ 131243 h 546847"/>
              <a:gd name="connsiteX237" fmla="*/ 267572 w 635663"/>
              <a:gd name="connsiteY237" fmla="*/ 134790 h 546847"/>
              <a:gd name="connsiteX238" fmla="*/ 261046 w 635663"/>
              <a:gd name="connsiteY238" fmla="*/ 140702 h 546847"/>
              <a:gd name="connsiteX239" fmla="*/ 257783 w 635663"/>
              <a:gd name="connsiteY239" fmla="*/ 134790 h 546847"/>
              <a:gd name="connsiteX240" fmla="*/ 254520 w 635663"/>
              <a:gd name="connsiteY240" fmla="*/ 127696 h 546847"/>
              <a:gd name="connsiteX241" fmla="*/ 257783 w 635663"/>
              <a:gd name="connsiteY241" fmla="*/ 121784 h 546847"/>
              <a:gd name="connsiteX242" fmla="*/ 251257 w 635663"/>
              <a:gd name="connsiteY242" fmla="*/ 131243 h 546847"/>
              <a:gd name="connsiteX243" fmla="*/ 249625 w 635663"/>
              <a:gd name="connsiteY243" fmla="*/ 144249 h 546847"/>
              <a:gd name="connsiteX244" fmla="*/ 243099 w 635663"/>
              <a:gd name="connsiteY244" fmla="*/ 150161 h 546847"/>
              <a:gd name="connsiteX245" fmla="*/ 239836 w 635663"/>
              <a:gd name="connsiteY245" fmla="*/ 156073 h 546847"/>
              <a:gd name="connsiteX246" fmla="*/ 234941 w 635663"/>
              <a:gd name="connsiteY246" fmla="*/ 170262 h 546847"/>
              <a:gd name="connsiteX247" fmla="*/ 225152 w 635663"/>
              <a:gd name="connsiteY247" fmla="*/ 189180 h 546847"/>
              <a:gd name="connsiteX248" fmla="*/ 218626 w 635663"/>
              <a:gd name="connsiteY248" fmla="*/ 201003 h 546847"/>
              <a:gd name="connsiteX249" fmla="*/ 218626 w 635663"/>
              <a:gd name="connsiteY249" fmla="*/ 206915 h 546847"/>
              <a:gd name="connsiteX250" fmla="*/ 215363 w 635663"/>
              <a:gd name="connsiteY250" fmla="*/ 205733 h 546847"/>
              <a:gd name="connsiteX251" fmla="*/ 208837 w 635663"/>
              <a:gd name="connsiteY251" fmla="*/ 201003 h 546847"/>
              <a:gd name="connsiteX252" fmla="*/ 208837 w 635663"/>
              <a:gd name="connsiteY252" fmla="*/ 193909 h 546847"/>
              <a:gd name="connsiteX253" fmla="*/ 212100 w 635663"/>
              <a:gd name="connsiteY253" fmla="*/ 179721 h 546847"/>
              <a:gd name="connsiteX254" fmla="*/ 205573 w 635663"/>
              <a:gd name="connsiteY254" fmla="*/ 182085 h 546847"/>
              <a:gd name="connsiteX255" fmla="*/ 199047 w 635663"/>
              <a:gd name="connsiteY255" fmla="*/ 183268 h 546847"/>
              <a:gd name="connsiteX256" fmla="*/ 195784 w 635663"/>
              <a:gd name="connsiteY256" fmla="*/ 177356 h 546847"/>
              <a:gd name="connsiteX257" fmla="*/ 199047 w 635663"/>
              <a:gd name="connsiteY257" fmla="*/ 170262 h 546847"/>
              <a:gd name="connsiteX258" fmla="*/ 199047 w 635663"/>
              <a:gd name="connsiteY258" fmla="*/ 158438 h 546847"/>
              <a:gd name="connsiteX259" fmla="*/ 195784 w 635663"/>
              <a:gd name="connsiteY259" fmla="*/ 151344 h 546847"/>
              <a:gd name="connsiteX260" fmla="*/ 199047 w 635663"/>
              <a:gd name="connsiteY260" fmla="*/ 150161 h 546847"/>
              <a:gd name="connsiteX261" fmla="*/ 190890 w 635663"/>
              <a:gd name="connsiteY261" fmla="*/ 144249 h 546847"/>
              <a:gd name="connsiteX262" fmla="*/ 181100 w 635663"/>
              <a:gd name="connsiteY262" fmla="*/ 140702 h 546847"/>
              <a:gd name="connsiteX263" fmla="*/ 174574 w 635663"/>
              <a:gd name="connsiteY263" fmla="*/ 139520 h 546847"/>
              <a:gd name="connsiteX264" fmla="*/ 172943 w 635663"/>
              <a:gd name="connsiteY264" fmla="*/ 127696 h 546847"/>
              <a:gd name="connsiteX265" fmla="*/ 166417 w 635663"/>
              <a:gd name="connsiteY265" fmla="*/ 122967 h 546847"/>
              <a:gd name="connsiteX266" fmla="*/ 148470 w 635663"/>
              <a:gd name="connsiteY266" fmla="*/ 121784 h 546847"/>
              <a:gd name="connsiteX267" fmla="*/ 141944 w 635663"/>
              <a:gd name="connsiteY267" fmla="*/ 118237 h 546847"/>
              <a:gd name="connsiteX268" fmla="*/ 135417 w 635663"/>
              <a:gd name="connsiteY268" fmla="*/ 121784 h 546847"/>
              <a:gd name="connsiteX269" fmla="*/ 122365 w 635663"/>
              <a:gd name="connsiteY269" fmla="*/ 118237 h 546847"/>
              <a:gd name="connsiteX270" fmla="*/ 119102 w 635663"/>
              <a:gd name="connsiteY270" fmla="*/ 120602 h 546847"/>
              <a:gd name="connsiteX271" fmla="*/ 96260 w 635663"/>
              <a:gd name="connsiteY271" fmla="*/ 111143 h 546847"/>
              <a:gd name="connsiteX272" fmla="*/ 24473 w 635663"/>
              <a:gd name="connsiteY272" fmla="*/ 96954 h 546847"/>
              <a:gd name="connsiteX273" fmla="*/ 16315 w 635663"/>
              <a:gd name="connsiteY273" fmla="*/ 83948 h 546847"/>
              <a:gd name="connsiteX274" fmla="*/ 9789 w 635663"/>
              <a:gd name="connsiteY274" fmla="*/ 79219 h 546847"/>
              <a:gd name="connsiteX275" fmla="*/ 3263 w 635663"/>
              <a:gd name="connsiteY275" fmla="*/ 75672 h 546847"/>
              <a:gd name="connsiteX276" fmla="*/ 0 w 635663"/>
              <a:gd name="connsiteY276" fmla="*/ 73307 h 546847"/>
              <a:gd name="connsiteX277" fmla="*/ 6526 w 635663"/>
              <a:gd name="connsiteY277" fmla="*/ 69760 h 546847"/>
              <a:gd name="connsiteX278" fmla="*/ 26104 w 635663"/>
              <a:gd name="connsiteY278" fmla="*/ 60301 h 546847"/>
              <a:gd name="connsiteX279" fmla="*/ 39157 w 635663"/>
              <a:gd name="connsiteY279" fmla="*/ 47295 h 546847"/>
              <a:gd name="connsiteX280" fmla="*/ 45683 w 635663"/>
              <a:gd name="connsiteY280" fmla="*/ 44930 h 546847"/>
              <a:gd name="connsiteX281" fmla="*/ 52209 w 635663"/>
              <a:gd name="connsiteY281" fmla="*/ 44930 h 546847"/>
              <a:gd name="connsiteX282" fmla="*/ 58735 w 635663"/>
              <a:gd name="connsiteY282" fmla="*/ 41383 h 546847"/>
              <a:gd name="connsiteX283" fmla="*/ 66893 w 635663"/>
              <a:gd name="connsiteY283" fmla="*/ 41383 h 546847"/>
              <a:gd name="connsiteX284" fmla="*/ 73419 w 635663"/>
              <a:gd name="connsiteY284" fmla="*/ 37836 h 546847"/>
              <a:gd name="connsiteX285" fmla="*/ 79945 w 635663"/>
              <a:gd name="connsiteY285" fmla="*/ 35471 h 546847"/>
              <a:gd name="connsiteX286" fmla="*/ 86471 w 635663"/>
              <a:gd name="connsiteY286" fmla="*/ 27194 h 546847"/>
              <a:gd name="connsiteX287" fmla="*/ 99524 w 635663"/>
              <a:gd name="connsiteY287" fmla="*/ 22465 h 546847"/>
              <a:gd name="connsiteX288" fmla="*/ 104418 w 635663"/>
              <a:gd name="connsiteY288" fmla="*/ 16553 h 54684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  <a:cxn ang="0">
                <a:pos x="connsiteX162" y="connsiteY162"/>
              </a:cxn>
              <a:cxn ang="0">
                <a:pos x="connsiteX163" y="connsiteY163"/>
              </a:cxn>
              <a:cxn ang="0">
                <a:pos x="connsiteX164" y="connsiteY164"/>
              </a:cxn>
              <a:cxn ang="0">
                <a:pos x="connsiteX165" y="connsiteY165"/>
              </a:cxn>
              <a:cxn ang="0">
                <a:pos x="connsiteX166" y="connsiteY166"/>
              </a:cxn>
              <a:cxn ang="0">
                <a:pos x="connsiteX167" y="connsiteY167"/>
              </a:cxn>
              <a:cxn ang="0">
                <a:pos x="connsiteX168" y="connsiteY168"/>
              </a:cxn>
              <a:cxn ang="0">
                <a:pos x="connsiteX169" y="connsiteY169"/>
              </a:cxn>
              <a:cxn ang="0">
                <a:pos x="connsiteX170" y="connsiteY170"/>
              </a:cxn>
              <a:cxn ang="0">
                <a:pos x="connsiteX171" y="connsiteY171"/>
              </a:cxn>
              <a:cxn ang="0">
                <a:pos x="connsiteX172" y="connsiteY172"/>
              </a:cxn>
              <a:cxn ang="0">
                <a:pos x="connsiteX173" y="connsiteY173"/>
              </a:cxn>
              <a:cxn ang="0">
                <a:pos x="connsiteX174" y="connsiteY174"/>
              </a:cxn>
              <a:cxn ang="0">
                <a:pos x="connsiteX175" y="connsiteY175"/>
              </a:cxn>
              <a:cxn ang="0">
                <a:pos x="connsiteX176" y="connsiteY176"/>
              </a:cxn>
              <a:cxn ang="0">
                <a:pos x="connsiteX177" y="connsiteY177"/>
              </a:cxn>
              <a:cxn ang="0">
                <a:pos x="connsiteX178" y="connsiteY178"/>
              </a:cxn>
              <a:cxn ang="0">
                <a:pos x="connsiteX179" y="connsiteY179"/>
              </a:cxn>
              <a:cxn ang="0">
                <a:pos x="connsiteX180" y="connsiteY180"/>
              </a:cxn>
              <a:cxn ang="0">
                <a:pos x="connsiteX181" y="connsiteY181"/>
              </a:cxn>
              <a:cxn ang="0">
                <a:pos x="connsiteX182" y="connsiteY182"/>
              </a:cxn>
              <a:cxn ang="0">
                <a:pos x="connsiteX183" y="connsiteY183"/>
              </a:cxn>
              <a:cxn ang="0">
                <a:pos x="connsiteX184" y="connsiteY184"/>
              </a:cxn>
              <a:cxn ang="0">
                <a:pos x="connsiteX185" y="connsiteY185"/>
              </a:cxn>
              <a:cxn ang="0">
                <a:pos x="connsiteX186" y="connsiteY186"/>
              </a:cxn>
              <a:cxn ang="0">
                <a:pos x="connsiteX187" y="connsiteY187"/>
              </a:cxn>
              <a:cxn ang="0">
                <a:pos x="connsiteX188" y="connsiteY188"/>
              </a:cxn>
              <a:cxn ang="0">
                <a:pos x="connsiteX189" y="connsiteY189"/>
              </a:cxn>
              <a:cxn ang="0">
                <a:pos x="connsiteX190" y="connsiteY190"/>
              </a:cxn>
              <a:cxn ang="0">
                <a:pos x="connsiteX191" y="connsiteY191"/>
              </a:cxn>
              <a:cxn ang="0">
                <a:pos x="connsiteX192" y="connsiteY192"/>
              </a:cxn>
              <a:cxn ang="0">
                <a:pos x="connsiteX193" y="connsiteY193"/>
              </a:cxn>
              <a:cxn ang="0">
                <a:pos x="connsiteX194" y="connsiteY194"/>
              </a:cxn>
              <a:cxn ang="0">
                <a:pos x="connsiteX195" y="connsiteY195"/>
              </a:cxn>
              <a:cxn ang="0">
                <a:pos x="connsiteX196" y="connsiteY196"/>
              </a:cxn>
              <a:cxn ang="0">
                <a:pos x="connsiteX197" y="connsiteY197"/>
              </a:cxn>
              <a:cxn ang="0">
                <a:pos x="connsiteX198" y="connsiteY198"/>
              </a:cxn>
              <a:cxn ang="0">
                <a:pos x="connsiteX199" y="connsiteY199"/>
              </a:cxn>
              <a:cxn ang="0">
                <a:pos x="connsiteX200" y="connsiteY200"/>
              </a:cxn>
              <a:cxn ang="0">
                <a:pos x="connsiteX201" y="connsiteY201"/>
              </a:cxn>
              <a:cxn ang="0">
                <a:pos x="connsiteX202" y="connsiteY202"/>
              </a:cxn>
              <a:cxn ang="0">
                <a:pos x="connsiteX203" y="connsiteY203"/>
              </a:cxn>
              <a:cxn ang="0">
                <a:pos x="connsiteX204" y="connsiteY204"/>
              </a:cxn>
              <a:cxn ang="0">
                <a:pos x="connsiteX205" y="connsiteY205"/>
              </a:cxn>
              <a:cxn ang="0">
                <a:pos x="connsiteX206" y="connsiteY206"/>
              </a:cxn>
              <a:cxn ang="0">
                <a:pos x="connsiteX207" y="connsiteY207"/>
              </a:cxn>
              <a:cxn ang="0">
                <a:pos x="connsiteX208" y="connsiteY208"/>
              </a:cxn>
              <a:cxn ang="0">
                <a:pos x="connsiteX209" y="connsiteY209"/>
              </a:cxn>
              <a:cxn ang="0">
                <a:pos x="connsiteX210" y="connsiteY210"/>
              </a:cxn>
              <a:cxn ang="0">
                <a:pos x="connsiteX211" y="connsiteY211"/>
              </a:cxn>
              <a:cxn ang="0">
                <a:pos x="connsiteX212" y="connsiteY212"/>
              </a:cxn>
              <a:cxn ang="0">
                <a:pos x="connsiteX213" y="connsiteY213"/>
              </a:cxn>
              <a:cxn ang="0">
                <a:pos x="connsiteX214" y="connsiteY214"/>
              </a:cxn>
              <a:cxn ang="0">
                <a:pos x="connsiteX215" y="connsiteY215"/>
              </a:cxn>
              <a:cxn ang="0">
                <a:pos x="connsiteX216" y="connsiteY216"/>
              </a:cxn>
              <a:cxn ang="0">
                <a:pos x="connsiteX217" y="connsiteY217"/>
              </a:cxn>
              <a:cxn ang="0">
                <a:pos x="connsiteX218" y="connsiteY218"/>
              </a:cxn>
              <a:cxn ang="0">
                <a:pos x="connsiteX219" y="connsiteY219"/>
              </a:cxn>
              <a:cxn ang="0">
                <a:pos x="connsiteX220" y="connsiteY220"/>
              </a:cxn>
              <a:cxn ang="0">
                <a:pos x="connsiteX221" y="connsiteY221"/>
              </a:cxn>
              <a:cxn ang="0">
                <a:pos x="connsiteX222" y="connsiteY222"/>
              </a:cxn>
              <a:cxn ang="0">
                <a:pos x="connsiteX223" y="connsiteY223"/>
              </a:cxn>
              <a:cxn ang="0">
                <a:pos x="connsiteX224" y="connsiteY224"/>
              </a:cxn>
              <a:cxn ang="0">
                <a:pos x="connsiteX225" y="connsiteY225"/>
              </a:cxn>
              <a:cxn ang="0">
                <a:pos x="connsiteX226" y="connsiteY226"/>
              </a:cxn>
              <a:cxn ang="0">
                <a:pos x="connsiteX227" y="connsiteY227"/>
              </a:cxn>
              <a:cxn ang="0">
                <a:pos x="connsiteX228" y="connsiteY228"/>
              </a:cxn>
              <a:cxn ang="0">
                <a:pos x="connsiteX229" y="connsiteY229"/>
              </a:cxn>
              <a:cxn ang="0">
                <a:pos x="connsiteX230" y="connsiteY230"/>
              </a:cxn>
              <a:cxn ang="0">
                <a:pos x="connsiteX231" y="connsiteY231"/>
              </a:cxn>
              <a:cxn ang="0">
                <a:pos x="connsiteX232" y="connsiteY232"/>
              </a:cxn>
              <a:cxn ang="0">
                <a:pos x="connsiteX233" y="connsiteY233"/>
              </a:cxn>
              <a:cxn ang="0">
                <a:pos x="connsiteX234" y="connsiteY234"/>
              </a:cxn>
              <a:cxn ang="0">
                <a:pos x="connsiteX235" y="connsiteY235"/>
              </a:cxn>
              <a:cxn ang="0">
                <a:pos x="connsiteX236" y="connsiteY236"/>
              </a:cxn>
              <a:cxn ang="0">
                <a:pos x="connsiteX237" y="connsiteY237"/>
              </a:cxn>
              <a:cxn ang="0">
                <a:pos x="connsiteX238" y="connsiteY238"/>
              </a:cxn>
              <a:cxn ang="0">
                <a:pos x="connsiteX239" y="connsiteY239"/>
              </a:cxn>
              <a:cxn ang="0">
                <a:pos x="connsiteX240" y="connsiteY240"/>
              </a:cxn>
              <a:cxn ang="0">
                <a:pos x="connsiteX241" y="connsiteY241"/>
              </a:cxn>
              <a:cxn ang="0">
                <a:pos x="connsiteX242" y="connsiteY242"/>
              </a:cxn>
              <a:cxn ang="0">
                <a:pos x="connsiteX243" y="connsiteY243"/>
              </a:cxn>
              <a:cxn ang="0">
                <a:pos x="connsiteX244" y="connsiteY244"/>
              </a:cxn>
              <a:cxn ang="0">
                <a:pos x="connsiteX245" y="connsiteY245"/>
              </a:cxn>
              <a:cxn ang="0">
                <a:pos x="connsiteX246" y="connsiteY246"/>
              </a:cxn>
              <a:cxn ang="0">
                <a:pos x="connsiteX247" y="connsiteY247"/>
              </a:cxn>
              <a:cxn ang="0">
                <a:pos x="connsiteX248" y="connsiteY248"/>
              </a:cxn>
              <a:cxn ang="0">
                <a:pos x="connsiteX249" y="connsiteY249"/>
              </a:cxn>
              <a:cxn ang="0">
                <a:pos x="connsiteX250" y="connsiteY250"/>
              </a:cxn>
              <a:cxn ang="0">
                <a:pos x="connsiteX251" y="connsiteY251"/>
              </a:cxn>
              <a:cxn ang="0">
                <a:pos x="connsiteX252" y="connsiteY252"/>
              </a:cxn>
              <a:cxn ang="0">
                <a:pos x="connsiteX253" y="connsiteY253"/>
              </a:cxn>
              <a:cxn ang="0">
                <a:pos x="connsiteX254" y="connsiteY254"/>
              </a:cxn>
              <a:cxn ang="0">
                <a:pos x="connsiteX255" y="connsiteY255"/>
              </a:cxn>
              <a:cxn ang="0">
                <a:pos x="connsiteX256" y="connsiteY256"/>
              </a:cxn>
              <a:cxn ang="0">
                <a:pos x="connsiteX257" y="connsiteY257"/>
              </a:cxn>
              <a:cxn ang="0">
                <a:pos x="connsiteX258" y="connsiteY258"/>
              </a:cxn>
              <a:cxn ang="0">
                <a:pos x="connsiteX259" y="connsiteY259"/>
              </a:cxn>
              <a:cxn ang="0">
                <a:pos x="connsiteX260" y="connsiteY260"/>
              </a:cxn>
              <a:cxn ang="0">
                <a:pos x="connsiteX261" y="connsiteY261"/>
              </a:cxn>
              <a:cxn ang="0">
                <a:pos x="connsiteX262" y="connsiteY262"/>
              </a:cxn>
              <a:cxn ang="0">
                <a:pos x="connsiteX263" y="connsiteY263"/>
              </a:cxn>
              <a:cxn ang="0">
                <a:pos x="connsiteX264" y="connsiteY264"/>
              </a:cxn>
              <a:cxn ang="0">
                <a:pos x="connsiteX265" y="connsiteY265"/>
              </a:cxn>
              <a:cxn ang="0">
                <a:pos x="connsiteX266" y="connsiteY266"/>
              </a:cxn>
              <a:cxn ang="0">
                <a:pos x="connsiteX267" y="connsiteY267"/>
              </a:cxn>
              <a:cxn ang="0">
                <a:pos x="connsiteX268" y="connsiteY268"/>
              </a:cxn>
              <a:cxn ang="0">
                <a:pos x="connsiteX269" y="connsiteY269"/>
              </a:cxn>
              <a:cxn ang="0">
                <a:pos x="connsiteX270" y="connsiteY270"/>
              </a:cxn>
              <a:cxn ang="0">
                <a:pos x="connsiteX271" y="connsiteY271"/>
              </a:cxn>
              <a:cxn ang="0">
                <a:pos x="connsiteX272" y="connsiteY272"/>
              </a:cxn>
              <a:cxn ang="0">
                <a:pos x="connsiteX273" y="connsiteY273"/>
              </a:cxn>
              <a:cxn ang="0">
                <a:pos x="connsiteX274" y="connsiteY274"/>
              </a:cxn>
              <a:cxn ang="0">
                <a:pos x="connsiteX275" y="connsiteY275"/>
              </a:cxn>
              <a:cxn ang="0">
                <a:pos x="connsiteX276" y="connsiteY276"/>
              </a:cxn>
              <a:cxn ang="0">
                <a:pos x="connsiteX277" y="connsiteY277"/>
              </a:cxn>
              <a:cxn ang="0">
                <a:pos x="connsiteX278" y="connsiteY278"/>
              </a:cxn>
              <a:cxn ang="0">
                <a:pos x="connsiteX279" y="connsiteY279"/>
              </a:cxn>
              <a:cxn ang="0">
                <a:pos x="connsiteX280" y="connsiteY280"/>
              </a:cxn>
              <a:cxn ang="0">
                <a:pos x="connsiteX281" y="connsiteY281"/>
              </a:cxn>
              <a:cxn ang="0">
                <a:pos x="connsiteX282" y="connsiteY282"/>
              </a:cxn>
              <a:cxn ang="0">
                <a:pos x="connsiteX283" y="connsiteY283"/>
              </a:cxn>
              <a:cxn ang="0">
                <a:pos x="connsiteX284" y="connsiteY284"/>
              </a:cxn>
              <a:cxn ang="0">
                <a:pos x="connsiteX285" y="connsiteY285"/>
              </a:cxn>
              <a:cxn ang="0">
                <a:pos x="connsiteX286" y="connsiteY286"/>
              </a:cxn>
              <a:cxn ang="0">
                <a:pos x="connsiteX287" y="connsiteY287"/>
              </a:cxn>
              <a:cxn ang="0">
                <a:pos x="connsiteX288" y="connsiteY288"/>
              </a:cxn>
            </a:cxnLst>
            <a:rect l="l" t="t" r="r" b="b"/>
            <a:pathLst>
              <a:path w="635663" h="546847">
                <a:moveTo>
                  <a:pt x="418373" y="114542"/>
                </a:moveTo>
                <a:lnTo>
                  <a:pt x="424958" y="118125"/>
                </a:lnTo>
                <a:lnTo>
                  <a:pt x="431542" y="119319"/>
                </a:lnTo>
                <a:lnTo>
                  <a:pt x="438127" y="124096"/>
                </a:lnTo>
                <a:lnTo>
                  <a:pt x="444712" y="124096"/>
                </a:lnTo>
                <a:lnTo>
                  <a:pt x="451296" y="122902"/>
                </a:lnTo>
                <a:lnTo>
                  <a:pt x="456234" y="126484"/>
                </a:lnTo>
                <a:lnTo>
                  <a:pt x="462819" y="128873"/>
                </a:lnTo>
                <a:lnTo>
                  <a:pt x="467757" y="136038"/>
                </a:lnTo>
                <a:lnTo>
                  <a:pt x="474342" y="137232"/>
                </a:lnTo>
                <a:lnTo>
                  <a:pt x="480926" y="137232"/>
                </a:lnTo>
                <a:lnTo>
                  <a:pt x="487511" y="140815"/>
                </a:lnTo>
                <a:lnTo>
                  <a:pt x="502326" y="145592"/>
                </a:lnTo>
                <a:lnTo>
                  <a:pt x="508911" y="147980"/>
                </a:lnTo>
                <a:lnTo>
                  <a:pt x="515495" y="147980"/>
                </a:lnTo>
                <a:lnTo>
                  <a:pt x="523726" y="151563"/>
                </a:lnTo>
                <a:lnTo>
                  <a:pt x="525372" y="157534"/>
                </a:lnTo>
                <a:lnTo>
                  <a:pt x="530311" y="164699"/>
                </a:lnTo>
                <a:lnTo>
                  <a:pt x="535249" y="167087"/>
                </a:lnTo>
                <a:lnTo>
                  <a:pt x="535249" y="174253"/>
                </a:lnTo>
                <a:lnTo>
                  <a:pt x="528664" y="175447"/>
                </a:lnTo>
                <a:lnTo>
                  <a:pt x="525372" y="183806"/>
                </a:lnTo>
                <a:lnTo>
                  <a:pt x="528664" y="189778"/>
                </a:lnTo>
                <a:lnTo>
                  <a:pt x="536895" y="194554"/>
                </a:lnTo>
                <a:lnTo>
                  <a:pt x="540187" y="200525"/>
                </a:lnTo>
                <a:lnTo>
                  <a:pt x="543480" y="213662"/>
                </a:lnTo>
                <a:lnTo>
                  <a:pt x="541834" y="226798"/>
                </a:lnTo>
                <a:lnTo>
                  <a:pt x="545126" y="248294"/>
                </a:lnTo>
                <a:lnTo>
                  <a:pt x="538541" y="255459"/>
                </a:lnTo>
                <a:lnTo>
                  <a:pt x="531957" y="257848"/>
                </a:lnTo>
                <a:lnTo>
                  <a:pt x="530311" y="265013"/>
                </a:lnTo>
                <a:lnTo>
                  <a:pt x="528664" y="276955"/>
                </a:lnTo>
                <a:lnTo>
                  <a:pt x="522080" y="288897"/>
                </a:lnTo>
                <a:lnTo>
                  <a:pt x="515495" y="290091"/>
                </a:lnTo>
                <a:lnTo>
                  <a:pt x="508911" y="294868"/>
                </a:lnTo>
                <a:lnTo>
                  <a:pt x="507265" y="308005"/>
                </a:lnTo>
                <a:lnTo>
                  <a:pt x="507265" y="317558"/>
                </a:lnTo>
                <a:lnTo>
                  <a:pt x="515495" y="324724"/>
                </a:lnTo>
                <a:lnTo>
                  <a:pt x="523726" y="327112"/>
                </a:lnTo>
                <a:lnTo>
                  <a:pt x="530311" y="328306"/>
                </a:lnTo>
                <a:lnTo>
                  <a:pt x="535249" y="322335"/>
                </a:lnTo>
                <a:lnTo>
                  <a:pt x="538541" y="315170"/>
                </a:lnTo>
                <a:lnTo>
                  <a:pt x="545126" y="310393"/>
                </a:lnTo>
                <a:lnTo>
                  <a:pt x="548418" y="299645"/>
                </a:lnTo>
                <a:lnTo>
                  <a:pt x="546772" y="293674"/>
                </a:lnTo>
                <a:lnTo>
                  <a:pt x="553356" y="290091"/>
                </a:lnTo>
                <a:lnTo>
                  <a:pt x="559941" y="284120"/>
                </a:lnTo>
                <a:lnTo>
                  <a:pt x="566526" y="280538"/>
                </a:lnTo>
                <a:lnTo>
                  <a:pt x="578048" y="274567"/>
                </a:lnTo>
                <a:lnTo>
                  <a:pt x="584633" y="274567"/>
                </a:lnTo>
                <a:lnTo>
                  <a:pt x="591218" y="276955"/>
                </a:lnTo>
                <a:lnTo>
                  <a:pt x="597802" y="284120"/>
                </a:lnTo>
                <a:lnTo>
                  <a:pt x="606033" y="296062"/>
                </a:lnTo>
                <a:lnTo>
                  <a:pt x="612617" y="323529"/>
                </a:lnTo>
                <a:lnTo>
                  <a:pt x="617556" y="329500"/>
                </a:lnTo>
                <a:lnTo>
                  <a:pt x="620848" y="342637"/>
                </a:lnTo>
                <a:lnTo>
                  <a:pt x="625786" y="356967"/>
                </a:lnTo>
                <a:lnTo>
                  <a:pt x="629079" y="365327"/>
                </a:lnTo>
                <a:lnTo>
                  <a:pt x="635663" y="374881"/>
                </a:lnTo>
                <a:lnTo>
                  <a:pt x="635663" y="380852"/>
                </a:lnTo>
                <a:lnTo>
                  <a:pt x="634017" y="382046"/>
                </a:lnTo>
                <a:lnTo>
                  <a:pt x="632371" y="396376"/>
                </a:lnTo>
                <a:lnTo>
                  <a:pt x="635663" y="401153"/>
                </a:lnTo>
                <a:lnTo>
                  <a:pt x="634017" y="415484"/>
                </a:lnTo>
                <a:lnTo>
                  <a:pt x="629079" y="422649"/>
                </a:lnTo>
                <a:lnTo>
                  <a:pt x="625786" y="423843"/>
                </a:lnTo>
                <a:lnTo>
                  <a:pt x="625786" y="422649"/>
                </a:lnTo>
                <a:lnTo>
                  <a:pt x="624140" y="415484"/>
                </a:lnTo>
                <a:lnTo>
                  <a:pt x="620848" y="410707"/>
                </a:lnTo>
                <a:lnTo>
                  <a:pt x="614263" y="415484"/>
                </a:lnTo>
                <a:lnTo>
                  <a:pt x="612617" y="420261"/>
                </a:lnTo>
                <a:lnTo>
                  <a:pt x="607679" y="427426"/>
                </a:lnTo>
                <a:lnTo>
                  <a:pt x="609325" y="441756"/>
                </a:lnTo>
                <a:lnTo>
                  <a:pt x="602741" y="447727"/>
                </a:lnTo>
                <a:lnTo>
                  <a:pt x="596156" y="453699"/>
                </a:lnTo>
                <a:lnTo>
                  <a:pt x="594510" y="456087"/>
                </a:lnTo>
                <a:lnTo>
                  <a:pt x="592864" y="458475"/>
                </a:lnTo>
                <a:lnTo>
                  <a:pt x="591218" y="465641"/>
                </a:lnTo>
                <a:lnTo>
                  <a:pt x="589571" y="484748"/>
                </a:lnTo>
                <a:lnTo>
                  <a:pt x="578048" y="503855"/>
                </a:lnTo>
                <a:lnTo>
                  <a:pt x="573110" y="518186"/>
                </a:lnTo>
                <a:lnTo>
                  <a:pt x="541834" y="524157"/>
                </a:lnTo>
                <a:lnTo>
                  <a:pt x="469404" y="534905"/>
                </a:lnTo>
                <a:lnTo>
                  <a:pt x="462819" y="528934"/>
                </a:lnTo>
                <a:lnTo>
                  <a:pt x="350882" y="543265"/>
                </a:lnTo>
                <a:lnTo>
                  <a:pt x="313021" y="546847"/>
                </a:lnTo>
                <a:lnTo>
                  <a:pt x="309728" y="546847"/>
                </a:lnTo>
                <a:lnTo>
                  <a:pt x="311375" y="544459"/>
                </a:lnTo>
                <a:lnTo>
                  <a:pt x="317959" y="538488"/>
                </a:lnTo>
                <a:lnTo>
                  <a:pt x="322897" y="530128"/>
                </a:lnTo>
                <a:lnTo>
                  <a:pt x="326190" y="524157"/>
                </a:lnTo>
                <a:lnTo>
                  <a:pt x="332774" y="505050"/>
                </a:lnTo>
                <a:lnTo>
                  <a:pt x="339359" y="491913"/>
                </a:lnTo>
                <a:lnTo>
                  <a:pt x="342651" y="484748"/>
                </a:lnTo>
                <a:lnTo>
                  <a:pt x="345943" y="460864"/>
                </a:lnTo>
                <a:lnTo>
                  <a:pt x="345943" y="441756"/>
                </a:lnTo>
                <a:lnTo>
                  <a:pt x="342651" y="414290"/>
                </a:lnTo>
                <a:lnTo>
                  <a:pt x="332774" y="393988"/>
                </a:lnTo>
                <a:lnTo>
                  <a:pt x="337713" y="386823"/>
                </a:lnTo>
                <a:lnTo>
                  <a:pt x="331128" y="390405"/>
                </a:lnTo>
                <a:lnTo>
                  <a:pt x="311375" y="355773"/>
                </a:lnTo>
                <a:lnTo>
                  <a:pt x="309728" y="348608"/>
                </a:lnTo>
                <a:lnTo>
                  <a:pt x="313021" y="342637"/>
                </a:lnTo>
                <a:lnTo>
                  <a:pt x="317959" y="336666"/>
                </a:lnTo>
                <a:lnTo>
                  <a:pt x="311375" y="315170"/>
                </a:lnTo>
                <a:lnTo>
                  <a:pt x="308082" y="309199"/>
                </a:lnTo>
                <a:lnTo>
                  <a:pt x="308082" y="303228"/>
                </a:lnTo>
                <a:lnTo>
                  <a:pt x="314667" y="296062"/>
                </a:lnTo>
                <a:lnTo>
                  <a:pt x="322897" y="276955"/>
                </a:lnTo>
                <a:lnTo>
                  <a:pt x="322897" y="269790"/>
                </a:lnTo>
                <a:lnTo>
                  <a:pt x="321251" y="262625"/>
                </a:lnTo>
                <a:lnTo>
                  <a:pt x="322897" y="251877"/>
                </a:lnTo>
                <a:lnTo>
                  <a:pt x="319605" y="238740"/>
                </a:lnTo>
                <a:lnTo>
                  <a:pt x="326190" y="233963"/>
                </a:lnTo>
                <a:lnTo>
                  <a:pt x="331128" y="227992"/>
                </a:lnTo>
                <a:lnTo>
                  <a:pt x="331128" y="222021"/>
                </a:lnTo>
                <a:lnTo>
                  <a:pt x="339359" y="208885"/>
                </a:lnTo>
                <a:lnTo>
                  <a:pt x="345943" y="210079"/>
                </a:lnTo>
                <a:lnTo>
                  <a:pt x="350882" y="205302"/>
                </a:lnTo>
                <a:lnTo>
                  <a:pt x="352528" y="199331"/>
                </a:lnTo>
                <a:lnTo>
                  <a:pt x="357466" y="193360"/>
                </a:lnTo>
                <a:lnTo>
                  <a:pt x="359112" y="186195"/>
                </a:lnTo>
                <a:lnTo>
                  <a:pt x="365697" y="180224"/>
                </a:lnTo>
                <a:lnTo>
                  <a:pt x="364051" y="199331"/>
                </a:lnTo>
                <a:lnTo>
                  <a:pt x="362405" y="204108"/>
                </a:lnTo>
                <a:lnTo>
                  <a:pt x="365697" y="210079"/>
                </a:lnTo>
                <a:lnTo>
                  <a:pt x="362405" y="217244"/>
                </a:lnTo>
                <a:lnTo>
                  <a:pt x="364051" y="223215"/>
                </a:lnTo>
                <a:lnTo>
                  <a:pt x="368989" y="217244"/>
                </a:lnTo>
                <a:lnTo>
                  <a:pt x="370635" y="204108"/>
                </a:lnTo>
                <a:lnTo>
                  <a:pt x="373928" y="202914"/>
                </a:lnTo>
                <a:lnTo>
                  <a:pt x="373928" y="217244"/>
                </a:lnTo>
                <a:lnTo>
                  <a:pt x="372282" y="223215"/>
                </a:lnTo>
                <a:lnTo>
                  <a:pt x="377220" y="217244"/>
                </a:lnTo>
                <a:lnTo>
                  <a:pt x="378866" y="208885"/>
                </a:lnTo>
                <a:lnTo>
                  <a:pt x="380512" y="202914"/>
                </a:lnTo>
                <a:lnTo>
                  <a:pt x="380512" y="195749"/>
                </a:lnTo>
                <a:lnTo>
                  <a:pt x="377220" y="175447"/>
                </a:lnTo>
                <a:lnTo>
                  <a:pt x="382158" y="169476"/>
                </a:lnTo>
                <a:lnTo>
                  <a:pt x="388743" y="164699"/>
                </a:lnTo>
                <a:lnTo>
                  <a:pt x="395327" y="159922"/>
                </a:lnTo>
                <a:lnTo>
                  <a:pt x="405204" y="159922"/>
                </a:lnTo>
                <a:lnTo>
                  <a:pt x="405204" y="155145"/>
                </a:lnTo>
                <a:lnTo>
                  <a:pt x="398620" y="150369"/>
                </a:lnTo>
                <a:lnTo>
                  <a:pt x="395327" y="143203"/>
                </a:lnTo>
                <a:lnTo>
                  <a:pt x="395327" y="137232"/>
                </a:lnTo>
                <a:lnTo>
                  <a:pt x="401912" y="128873"/>
                </a:lnTo>
                <a:lnTo>
                  <a:pt x="405204" y="122902"/>
                </a:lnTo>
                <a:lnTo>
                  <a:pt x="411789" y="119319"/>
                </a:lnTo>
                <a:close/>
                <a:moveTo>
                  <a:pt x="119102" y="0"/>
                </a:moveTo>
                <a:lnTo>
                  <a:pt x="122365" y="7094"/>
                </a:lnTo>
                <a:lnTo>
                  <a:pt x="127260" y="8276"/>
                </a:lnTo>
                <a:lnTo>
                  <a:pt x="138680" y="22465"/>
                </a:lnTo>
                <a:lnTo>
                  <a:pt x="137049" y="35471"/>
                </a:lnTo>
                <a:lnTo>
                  <a:pt x="138680" y="41383"/>
                </a:lnTo>
                <a:lnTo>
                  <a:pt x="141944" y="37836"/>
                </a:lnTo>
                <a:lnTo>
                  <a:pt x="143575" y="31924"/>
                </a:lnTo>
                <a:lnTo>
                  <a:pt x="150101" y="28377"/>
                </a:lnTo>
                <a:lnTo>
                  <a:pt x="156627" y="22465"/>
                </a:lnTo>
                <a:lnTo>
                  <a:pt x="151733" y="35471"/>
                </a:lnTo>
                <a:lnTo>
                  <a:pt x="154996" y="33106"/>
                </a:lnTo>
                <a:lnTo>
                  <a:pt x="158259" y="27194"/>
                </a:lnTo>
                <a:lnTo>
                  <a:pt x="164785" y="26012"/>
                </a:lnTo>
                <a:lnTo>
                  <a:pt x="179469" y="26012"/>
                </a:lnTo>
                <a:lnTo>
                  <a:pt x="185995" y="26012"/>
                </a:lnTo>
                <a:lnTo>
                  <a:pt x="192521" y="31924"/>
                </a:lnTo>
                <a:lnTo>
                  <a:pt x="199047" y="33106"/>
                </a:lnTo>
                <a:lnTo>
                  <a:pt x="202310" y="40201"/>
                </a:lnTo>
                <a:lnTo>
                  <a:pt x="215363" y="52024"/>
                </a:lnTo>
                <a:lnTo>
                  <a:pt x="218626" y="60301"/>
                </a:lnTo>
                <a:lnTo>
                  <a:pt x="226783" y="63848"/>
                </a:lnTo>
                <a:lnTo>
                  <a:pt x="233310" y="61483"/>
                </a:lnTo>
                <a:lnTo>
                  <a:pt x="247993" y="56754"/>
                </a:lnTo>
                <a:lnTo>
                  <a:pt x="254520" y="61483"/>
                </a:lnTo>
                <a:lnTo>
                  <a:pt x="262677" y="63848"/>
                </a:lnTo>
                <a:lnTo>
                  <a:pt x="269203" y="63848"/>
                </a:lnTo>
                <a:lnTo>
                  <a:pt x="274098" y="65030"/>
                </a:lnTo>
                <a:lnTo>
                  <a:pt x="285519" y="52024"/>
                </a:lnTo>
                <a:lnTo>
                  <a:pt x="298571" y="44930"/>
                </a:lnTo>
                <a:lnTo>
                  <a:pt x="305097" y="37836"/>
                </a:lnTo>
                <a:lnTo>
                  <a:pt x="316518" y="35471"/>
                </a:lnTo>
                <a:lnTo>
                  <a:pt x="323045" y="31924"/>
                </a:lnTo>
                <a:lnTo>
                  <a:pt x="350781" y="30742"/>
                </a:lnTo>
                <a:lnTo>
                  <a:pt x="357307" y="28377"/>
                </a:lnTo>
                <a:lnTo>
                  <a:pt x="370359" y="21283"/>
                </a:lnTo>
                <a:lnTo>
                  <a:pt x="376885" y="18918"/>
                </a:lnTo>
                <a:lnTo>
                  <a:pt x="389938" y="17735"/>
                </a:lnTo>
                <a:lnTo>
                  <a:pt x="389938" y="40201"/>
                </a:lnTo>
                <a:lnTo>
                  <a:pt x="393201" y="46112"/>
                </a:lnTo>
                <a:lnTo>
                  <a:pt x="406253" y="47295"/>
                </a:lnTo>
                <a:lnTo>
                  <a:pt x="420937" y="42565"/>
                </a:lnTo>
                <a:lnTo>
                  <a:pt x="424200" y="49659"/>
                </a:lnTo>
                <a:lnTo>
                  <a:pt x="430726" y="46112"/>
                </a:lnTo>
                <a:lnTo>
                  <a:pt x="435621" y="40201"/>
                </a:lnTo>
                <a:lnTo>
                  <a:pt x="440515" y="37836"/>
                </a:lnTo>
                <a:lnTo>
                  <a:pt x="447041" y="44930"/>
                </a:lnTo>
                <a:lnTo>
                  <a:pt x="450305" y="50842"/>
                </a:lnTo>
                <a:lnTo>
                  <a:pt x="453568" y="56754"/>
                </a:lnTo>
                <a:lnTo>
                  <a:pt x="453568" y="65030"/>
                </a:lnTo>
                <a:lnTo>
                  <a:pt x="460094" y="69760"/>
                </a:lnTo>
                <a:lnTo>
                  <a:pt x="461725" y="69760"/>
                </a:lnTo>
                <a:lnTo>
                  <a:pt x="468251" y="73307"/>
                </a:lnTo>
                <a:lnTo>
                  <a:pt x="468251" y="79219"/>
                </a:lnTo>
                <a:lnTo>
                  <a:pt x="476409" y="82766"/>
                </a:lnTo>
                <a:lnTo>
                  <a:pt x="479672" y="88678"/>
                </a:lnTo>
                <a:lnTo>
                  <a:pt x="473146" y="89860"/>
                </a:lnTo>
                <a:lnTo>
                  <a:pt x="442147" y="88678"/>
                </a:lnTo>
                <a:lnTo>
                  <a:pt x="435621" y="92225"/>
                </a:lnTo>
                <a:lnTo>
                  <a:pt x="429095" y="88678"/>
                </a:lnTo>
                <a:lnTo>
                  <a:pt x="422568" y="88678"/>
                </a:lnTo>
                <a:lnTo>
                  <a:pt x="420937" y="96954"/>
                </a:lnTo>
                <a:lnTo>
                  <a:pt x="420937" y="107596"/>
                </a:lnTo>
                <a:lnTo>
                  <a:pt x="414411" y="106413"/>
                </a:lnTo>
                <a:lnTo>
                  <a:pt x="399727" y="94590"/>
                </a:lnTo>
                <a:lnTo>
                  <a:pt x="385043" y="89860"/>
                </a:lnTo>
                <a:lnTo>
                  <a:pt x="378517" y="89860"/>
                </a:lnTo>
                <a:lnTo>
                  <a:pt x="371991" y="88678"/>
                </a:lnTo>
                <a:lnTo>
                  <a:pt x="358938" y="89860"/>
                </a:lnTo>
                <a:lnTo>
                  <a:pt x="354044" y="101684"/>
                </a:lnTo>
                <a:lnTo>
                  <a:pt x="347518" y="104049"/>
                </a:lnTo>
                <a:lnTo>
                  <a:pt x="339360" y="104049"/>
                </a:lnTo>
                <a:lnTo>
                  <a:pt x="326308" y="107596"/>
                </a:lnTo>
                <a:lnTo>
                  <a:pt x="319782" y="107596"/>
                </a:lnTo>
                <a:lnTo>
                  <a:pt x="313255" y="108778"/>
                </a:lnTo>
                <a:lnTo>
                  <a:pt x="308361" y="112325"/>
                </a:lnTo>
                <a:lnTo>
                  <a:pt x="303466" y="118237"/>
                </a:lnTo>
                <a:lnTo>
                  <a:pt x="303466" y="125332"/>
                </a:lnTo>
                <a:lnTo>
                  <a:pt x="295308" y="131243"/>
                </a:lnTo>
                <a:lnTo>
                  <a:pt x="288782" y="137155"/>
                </a:lnTo>
                <a:lnTo>
                  <a:pt x="285519" y="144249"/>
                </a:lnTo>
                <a:lnTo>
                  <a:pt x="278993" y="144249"/>
                </a:lnTo>
                <a:lnTo>
                  <a:pt x="282256" y="134790"/>
                </a:lnTo>
                <a:lnTo>
                  <a:pt x="288782" y="130061"/>
                </a:lnTo>
                <a:lnTo>
                  <a:pt x="288782" y="122967"/>
                </a:lnTo>
                <a:lnTo>
                  <a:pt x="282256" y="121784"/>
                </a:lnTo>
                <a:lnTo>
                  <a:pt x="275730" y="125332"/>
                </a:lnTo>
                <a:lnTo>
                  <a:pt x="269203" y="131243"/>
                </a:lnTo>
                <a:lnTo>
                  <a:pt x="267572" y="134790"/>
                </a:lnTo>
                <a:lnTo>
                  <a:pt x="261046" y="140702"/>
                </a:lnTo>
                <a:lnTo>
                  <a:pt x="257783" y="134790"/>
                </a:lnTo>
                <a:lnTo>
                  <a:pt x="254520" y="127696"/>
                </a:lnTo>
                <a:lnTo>
                  <a:pt x="257783" y="121784"/>
                </a:lnTo>
                <a:lnTo>
                  <a:pt x="251257" y="131243"/>
                </a:lnTo>
                <a:lnTo>
                  <a:pt x="249625" y="144249"/>
                </a:lnTo>
                <a:lnTo>
                  <a:pt x="243099" y="150161"/>
                </a:lnTo>
                <a:lnTo>
                  <a:pt x="239836" y="156073"/>
                </a:lnTo>
                <a:lnTo>
                  <a:pt x="234941" y="170262"/>
                </a:lnTo>
                <a:lnTo>
                  <a:pt x="225152" y="189180"/>
                </a:lnTo>
                <a:lnTo>
                  <a:pt x="218626" y="201003"/>
                </a:lnTo>
                <a:lnTo>
                  <a:pt x="218626" y="206915"/>
                </a:lnTo>
                <a:lnTo>
                  <a:pt x="215363" y="205733"/>
                </a:lnTo>
                <a:lnTo>
                  <a:pt x="208837" y="201003"/>
                </a:lnTo>
                <a:lnTo>
                  <a:pt x="208837" y="193909"/>
                </a:lnTo>
                <a:lnTo>
                  <a:pt x="212100" y="179721"/>
                </a:lnTo>
                <a:lnTo>
                  <a:pt x="205573" y="182085"/>
                </a:lnTo>
                <a:lnTo>
                  <a:pt x="199047" y="183268"/>
                </a:lnTo>
                <a:lnTo>
                  <a:pt x="195784" y="177356"/>
                </a:lnTo>
                <a:lnTo>
                  <a:pt x="199047" y="170262"/>
                </a:lnTo>
                <a:lnTo>
                  <a:pt x="199047" y="158438"/>
                </a:lnTo>
                <a:lnTo>
                  <a:pt x="195784" y="151344"/>
                </a:lnTo>
                <a:lnTo>
                  <a:pt x="199047" y="150161"/>
                </a:lnTo>
                <a:lnTo>
                  <a:pt x="190890" y="144249"/>
                </a:lnTo>
                <a:lnTo>
                  <a:pt x="181100" y="140702"/>
                </a:lnTo>
                <a:lnTo>
                  <a:pt x="174574" y="139520"/>
                </a:lnTo>
                <a:lnTo>
                  <a:pt x="172943" y="127696"/>
                </a:lnTo>
                <a:lnTo>
                  <a:pt x="166417" y="122967"/>
                </a:lnTo>
                <a:lnTo>
                  <a:pt x="148470" y="121784"/>
                </a:lnTo>
                <a:lnTo>
                  <a:pt x="141944" y="118237"/>
                </a:lnTo>
                <a:lnTo>
                  <a:pt x="135417" y="121784"/>
                </a:lnTo>
                <a:lnTo>
                  <a:pt x="122365" y="118237"/>
                </a:lnTo>
                <a:lnTo>
                  <a:pt x="119102" y="120602"/>
                </a:lnTo>
                <a:lnTo>
                  <a:pt x="96260" y="111143"/>
                </a:lnTo>
                <a:lnTo>
                  <a:pt x="24473" y="96954"/>
                </a:lnTo>
                <a:lnTo>
                  <a:pt x="16315" y="83948"/>
                </a:lnTo>
                <a:lnTo>
                  <a:pt x="9789" y="79219"/>
                </a:lnTo>
                <a:lnTo>
                  <a:pt x="3263" y="75672"/>
                </a:lnTo>
                <a:lnTo>
                  <a:pt x="0" y="73307"/>
                </a:lnTo>
                <a:lnTo>
                  <a:pt x="6526" y="69760"/>
                </a:lnTo>
                <a:lnTo>
                  <a:pt x="26104" y="60301"/>
                </a:lnTo>
                <a:lnTo>
                  <a:pt x="39157" y="47295"/>
                </a:lnTo>
                <a:lnTo>
                  <a:pt x="45683" y="44930"/>
                </a:lnTo>
                <a:lnTo>
                  <a:pt x="52209" y="44930"/>
                </a:lnTo>
                <a:lnTo>
                  <a:pt x="58735" y="41383"/>
                </a:lnTo>
                <a:lnTo>
                  <a:pt x="66893" y="41383"/>
                </a:lnTo>
                <a:lnTo>
                  <a:pt x="73419" y="37836"/>
                </a:lnTo>
                <a:lnTo>
                  <a:pt x="79945" y="35471"/>
                </a:lnTo>
                <a:lnTo>
                  <a:pt x="86471" y="27194"/>
                </a:lnTo>
                <a:lnTo>
                  <a:pt x="99524" y="22465"/>
                </a:lnTo>
                <a:lnTo>
                  <a:pt x="104418" y="16553"/>
                </a:lnTo>
                <a:close/>
              </a:path>
            </a:pathLst>
          </a:custGeom>
          <a:solidFill>
            <a:srgbClr val="E75936">
              <a:alpha val="57971"/>
            </a:srgbClr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  <xdr:txBody>
          <a:bodyPr wrap="square">
            <a:noAutofit/>
          </a:bodyPr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9D72DA37-739F-47AD-8EF4-27F71C7992DA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48">
        <xdr:nvSpPr>
          <xdr:cNvPr id="503" name="VT">
            <a:extLst>
              <a:ext uri="{FF2B5EF4-FFF2-40B4-BE49-F238E27FC236}">
                <a16:creationId xmlns:a16="http://schemas.microsoft.com/office/drawing/2014/main" id="{00000000-0008-0000-0100-0000F7010000}"/>
              </a:ext>
            </a:extLst>
          </xdr:cNvPr>
          <xdr:cNvSpPr>
            <a:spLocks/>
          </xdr:cNvSpPr>
        </xdr:nvSpPr>
        <xdr:spPr bwMode="auto">
          <a:xfrm>
            <a:off x="5396972" y="2013283"/>
            <a:ext cx="138392" cy="261657"/>
          </a:xfrm>
          <a:custGeom>
            <a:avLst/>
            <a:gdLst>
              <a:gd name="T0" fmla="*/ 0 w 86"/>
              <a:gd name="T1" fmla="*/ 29 h 216"/>
              <a:gd name="T2" fmla="*/ 0 w 86"/>
              <a:gd name="T3" fmla="*/ 32 h 216"/>
              <a:gd name="T4" fmla="*/ 2 w 86"/>
              <a:gd name="T5" fmla="*/ 36 h 216"/>
              <a:gd name="T6" fmla="*/ 1 w 86"/>
              <a:gd name="T7" fmla="*/ 41 h 216"/>
              <a:gd name="T8" fmla="*/ 4 w 86"/>
              <a:gd name="T9" fmla="*/ 48 h 216"/>
              <a:gd name="T10" fmla="*/ 4 w 86"/>
              <a:gd name="T11" fmla="*/ 60 h 216"/>
              <a:gd name="T12" fmla="*/ 6 w 86"/>
              <a:gd name="T13" fmla="*/ 66 h 216"/>
              <a:gd name="T14" fmla="*/ 10 w 86"/>
              <a:gd name="T15" fmla="*/ 72 h 216"/>
              <a:gd name="T16" fmla="*/ 11 w 86"/>
              <a:gd name="T17" fmla="*/ 77 h 216"/>
              <a:gd name="T18" fmla="*/ 11 w 86"/>
              <a:gd name="T19" fmla="*/ 82 h 216"/>
              <a:gd name="T20" fmla="*/ 12 w 86"/>
              <a:gd name="T21" fmla="*/ 88 h 216"/>
              <a:gd name="T22" fmla="*/ 13 w 86"/>
              <a:gd name="T23" fmla="*/ 93 h 216"/>
              <a:gd name="T24" fmla="*/ 11 w 86"/>
              <a:gd name="T25" fmla="*/ 96 h 216"/>
              <a:gd name="T26" fmla="*/ 11 w 86"/>
              <a:gd name="T27" fmla="*/ 108 h 216"/>
              <a:gd name="T28" fmla="*/ 14 w 86"/>
              <a:gd name="T29" fmla="*/ 118 h 216"/>
              <a:gd name="T30" fmla="*/ 16 w 86"/>
              <a:gd name="T31" fmla="*/ 124 h 216"/>
              <a:gd name="T32" fmla="*/ 19 w 86"/>
              <a:gd name="T33" fmla="*/ 134 h 216"/>
              <a:gd name="T34" fmla="*/ 18 w 86"/>
              <a:gd name="T35" fmla="*/ 145 h 216"/>
              <a:gd name="T36" fmla="*/ 20 w 86"/>
              <a:gd name="T37" fmla="*/ 150 h 216"/>
              <a:gd name="T38" fmla="*/ 22 w 86"/>
              <a:gd name="T39" fmla="*/ 144 h 216"/>
              <a:gd name="T40" fmla="*/ 28 w 86"/>
              <a:gd name="T41" fmla="*/ 152 h 216"/>
              <a:gd name="T42" fmla="*/ 37 w 86"/>
              <a:gd name="T43" fmla="*/ 208 h 216"/>
              <a:gd name="T44" fmla="*/ 37 w 86"/>
              <a:gd name="T45" fmla="*/ 210 h 216"/>
              <a:gd name="T46" fmla="*/ 40 w 86"/>
              <a:gd name="T47" fmla="*/ 216 h 216"/>
              <a:gd name="T48" fmla="*/ 76 w 86"/>
              <a:gd name="T49" fmla="*/ 206 h 216"/>
              <a:gd name="T50" fmla="*/ 72 w 86"/>
              <a:gd name="T51" fmla="*/ 201 h 216"/>
              <a:gd name="T52" fmla="*/ 70 w 86"/>
              <a:gd name="T53" fmla="*/ 194 h 216"/>
              <a:gd name="T54" fmla="*/ 70 w 86"/>
              <a:gd name="T55" fmla="*/ 188 h 216"/>
              <a:gd name="T56" fmla="*/ 72 w 86"/>
              <a:gd name="T57" fmla="*/ 182 h 216"/>
              <a:gd name="T58" fmla="*/ 69 w 86"/>
              <a:gd name="T59" fmla="*/ 166 h 216"/>
              <a:gd name="T60" fmla="*/ 69 w 86"/>
              <a:gd name="T61" fmla="*/ 156 h 216"/>
              <a:gd name="T62" fmla="*/ 66 w 86"/>
              <a:gd name="T63" fmla="*/ 136 h 216"/>
              <a:gd name="T64" fmla="*/ 68 w 86"/>
              <a:gd name="T65" fmla="*/ 130 h 216"/>
              <a:gd name="T66" fmla="*/ 67 w 86"/>
              <a:gd name="T67" fmla="*/ 122 h 216"/>
              <a:gd name="T68" fmla="*/ 69 w 86"/>
              <a:gd name="T69" fmla="*/ 116 h 216"/>
              <a:gd name="T70" fmla="*/ 71 w 86"/>
              <a:gd name="T71" fmla="*/ 110 h 216"/>
              <a:gd name="T72" fmla="*/ 70 w 86"/>
              <a:gd name="T73" fmla="*/ 105 h 216"/>
              <a:gd name="T74" fmla="*/ 72 w 86"/>
              <a:gd name="T75" fmla="*/ 100 h 216"/>
              <a:gd name="T76" fmla="*/ 71 w 86"/>
              <a:gd name="T77" fmla="*/ 94 h 216"/>
              <a:gd name="T78" fmla="*/ 73 w 86"/>
              <a:gd name="T79" fmla="*/ 85 h 216"/>
              <a:gd name="T80" fmla="*/ 70 w 86"/>
              <a:gd name="T81" fmla="*/ 73 h 216"/>
              <a:gd name="T82" fmla="*/ 70 w 86"/>
              <a:gd name="T83" fmla="*/ 68 h 216"/>
              <a:gd name="T84" fmla="*/ 74 w 86"/>
              <a:gd name="T85" fmla="*/ 62 h 216"/>
              <a:gd name="T86" fmla="*/ 75 w 86"/>
              <a:gd name="T87" fmla="*/ 61 h 216"/>
              <a:gd name="T88" fmla="*/ 83 w 86"/>
              <a:gd name="T89" fmla="*/ 50 h 216"/>
              <a:gd name="T90" fmla="*/ 86 w 86"/>
              <a:gd name="T91" fmla="*/ 42 h 216"/>
              <a:gd name="T92" fmla="*/ 86 w 86"/>
              <a:gd name="T93" fmla="*/ 37 h 216"/>
              <a:gd name="T94" fmla="*/ 85 w 86"/>
              <a:gd name="T95" fmla="*/ 32 h 216"/>
              <a:gd name="T96" fmla="*/ 81 w 86"/>
              <a:gd name="T97" fmla="*/ 26 h 216"/>
              <a:gd name="T98" fmla="*/ 81 w 86"/>
              <a:gd name="T99" fmla="*/ 21 h 216"/>
              <a:gd name="T100" fmla="*/ 83 w 86"/>
              <a:gd name="T101" fmla="*/ 10 h 216"/>
              <a:gd name="T102" fmla="*/ 80 w 86"/>
              <a:gd name="T103" fmla="*/ 2 h 216"/>
              <a:gd name="T104" fmla="*/ 81 w 86"/>
              <a:gd name="T105" fmla="*/ 0 h 216"/>
              <a:gd name="T106" fmla="*/ 16 w 86"/>
              <a:gd name="T107" fmla="*/ 22 h 216"/>
              <a:gd name="T108" fmla="*/ 0 w 86"/>
              <a:gd name="T109" fmla="*/ 29 h 216"/>
              <a:gd name="T110" fmla="*/ 0 w 86"/>
              <a:gd name="T111" fmla="*/ 29 h 216"/>
              <a:gd name="T112" fmla="*/ 0 w 86"/>
              <a:gd name="T113" fmla="*/ 29 h 2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</a:cxnLst>
            <a:rect l="0" t="0" r="r" b="b"/>
            <a:pathLst>
              <a:path w="86" h="216">
                <a:moveTo>
                  <a:pt x="0" y="29"/>
                </a:moveTo>
                <a:lnTo>
                  <a:pt x="0" y="32"/>
                </a:lnTo>
                <a:lnTo>
                  <a:pt x="2" y="36"/>
                </a:lnTo>
                <a:lnTo>
                  <a:pt x="1" y="41"/>
                </a:lnTo>
                <a:lnTo>
                  <a:pt x="4" y="48"/>
                </a:lnTo>
                <a:lnTo>
                  <a:pt x="4" y="60"/>
                </a:lnTo>
                <a:lnTo>
                  <a:pt x="6" y="66"/>
                </a:lnTo>
                <a:lnTo>
                  <a:pt x="10" y="72"/>
                </a:lnTo>
                <a:lnTo>
                  <a:pt x="11" y="77"/>
                </a:lnTo>
                <a:lnTo>
                  <a:pt x="11" y="82"/>
                </a:lnTo>
                <a:lnTo>
                  <a:pt x="12" y="88"/>
                </a:lnTo>
                <a:lnTo>
                  <a:pt x="13" y="93"/>
                </a:lnTo>
                <a:lnTo>
                  <a:pt x="11" y="96"/>
                </a:lnTo>
                <a:lnTo>
                  <a:pt x="11" y="108"/>
                </a:lnTo>
                <a:lnTo>
                  <a:pt x="14" y="118"/>
                </a:lnTo>
                <a:lnTo>
                  <a:pt x="16" y="124"/>
                </a:lnTo>
                <a:lnTo>
                  <a:pt x="19" y="134"/>
                </a:lnTo>
                <a:lnTo>
                  <a:pt x="18" y="145"/>
                </a:lnTo>
                <a:lnTo>
                  <a:pt x="20" y="150"/>
                </a:lnTo>
                <a:lnTo>
                  <a:pt x="22" y="144"/>
                </a:lnTo>
                <a:lnTo>
                  <a:pt x="28" y="152"/>
                </a:lnTo>
                <a:lnTo>
                  <a:pt x="37" y="208"/>
                </a:lnTo>
                <a:lnTo>
                  <a:pt x="37" y="210"/>
                </a:lnTo>
                <a:lnTo>
                  <a:pt x="40" y="216"/>
                </a:lnTo>
                <a:lnTo>
                  <a:pt x="76" y="206"/>
                </a:lnTo>
                <a:lnTo>
                  <a:pt x="72" y="201"/>
                </a:lnTo>
                <a:lnTo>
                  <a:pt x="70" y="194"/>
                </a:lnTo>
                <a:lnTo>
                  <a:pt x="70" y="188"/>
                </a:lnTo>
                <a:lnTo>
                  <a:pt x="72" y="182"/>
                </a:lnTo>
                <a:lnTo>
                  <a:pt x="69" y="166"/>
                </a:lnTo>
                <a:lnTo>
                  <a:pt x="69" y="156"/>
                </a:lnTo>
                <a:lnTo>
                  <a:pt x="66" y="136"/>
                </a:lnTo>
                <a:lnTo>
                  <a:pt x="68" y="130"/>
                </a:lnTo>
                <a:lnTo>
                  <a:pt x="67" y="122"/>
                </a:lnTo>
                <a:lnTo>
                  <a:pt x="69" y="116"/>
                </a:lnTo>
                <a:lnTo>
                  <a:pt x="71" y="110"/>
                </a:lnTo>
                <a:lnTo>
                  <a:pt x="70" y="105"/>
                </a:lnTo>
                <a:lnTo>
                  <a:pt x="72" y="100"/>
                </a:lnTo>
                <a:lnTo>
                  <a:pt x="71" y="94"/>
                </a:lnTo>
                <a:lnTo>
                  <a:pt x="73" y="85"/>
                </a:lnTo>
                <a:lnTo>
                  <a:pt x="70" y="73"/>
                </a:lnTo>
                <a:lnTo>
                  <a:pt x="70" y="68"/>
                </a:lnTo>
                <a:lnTo>
                  <a:pt x="74" y="62"/>
                </a:lnTo>
                <a:lnTo>
                  <a:pt x="75" y="61"/>
                </a:lnTo>
                <a:lnTo>
                  <a:pt x="83" y="50"/>
                </a:lnTo>
                <a:lnTo>
                  <a:pt x="86" y="42"/>
                </a:lnTo>
                <a:lnTo>
                  <a:pt x="86" y="37"/>
                </a:lnTo>
                <a:lnTo>
                  <a:pt x="85" y="32"/>
                </a:lnTo>
                <a:lnTo>
                  <a:pt x="81" y="26"/>
                </a:lnTo>
                <a:lnTo>
                  <a:pt x="81" y="21"/>
                </a:lnTo>
                <a:lnTo>
                  <a:pt x="83" y="10"/>
                </a:lnTo>
                <a:lnTo>
                  <a:pt x="80" y="2"/>
                </a:lnTo>
                <a:lnTo>
                  <a:pt x="81" y="0"/>
                </a:lnTo>
                <a:lnTo>
                  <a:pt x="16" y="22"/>
                </a:lnTo>
                <a:lnTo>
                  <a:pt x="0" y="29"/>
                </a:lnTo>
                <a:lnTo>
                  <a:pt x="0" y="29"/>
                </a:lnTo>
                <a:lnTo>
                  <a:pt x="0" y="29"/>
                </a:lnTo>
                <a:close/>
              </a:path>
            </a:pathLst>
          </a:custGeom>
          <a:solidFill>
            <a:srgbClr val="E75936">
              <a:alpha val="82350"/>
            </a:srgbClr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6917C2D8-F4CF-4C76-9F43-B178FE537985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31">
        <xdr:nvSpPr>
          <xdr:cNvPr id="506" name="NH">
            <a:extLst>
              <a:ext uri="{FF2B5EF4-FFF2-40B4-BE49-F238E27FC236}">
                <a16:creationId xmlns:a16="http://schemas.microsoft.com/office/drawing/2014/main" id="{00000000-0008-0000-0100-0000FA010000}"/>
              </a:ext>
            </a:extLst>
          </xdr:cNvPr>
          <xdr:cNvSpPr>
            <a:spLocks/>
          </xdr:cNvSpPr>
        </xdr:nvSpPr>
        <xdr:spPr bwMode="auto">
          <a:xfrm>
            <a:off x="5497264" y="1975183"/>
            <a:ext cx="142875" cy="280707"/>
          </a:xfrm>
          <a:custGeom>
            <a:avLst/>
            <a:gdLst>
              <a:gd name="T0" fmla="*/ 10 w 85"/>
              <a:gd name="T1" fmla="*/ 237 h 237"/>
              <a:gd name="T2" fmla="*/ 63 w 85"/>
              <a:gd name="T3" fmla="*/ 220 h 237"/>
              <a:gd name="T4" fmla="*/ 68 w 85"/>
              <a:gd name="T5" fmla="*/ 212 h 237"/>
              <a:gd name="T6" fmla="*/ 71 w 85"/>
              <a:gd name="T7" fmla="*/ 207 h 237"/>
              <a:gd name="T8" fmla="*/ 72 w 85"/>
              <a:gd name="T9" fmla="*/ 207 h 237"/>
              <a:gd name="T10" fmla="*/ 75 w 85"/>
              <a:gd name="T11" fmla="*/ 201 h 237"/>
              <a:gd name="T12" fmla="*/ 79 w 85"/>
              <a:gd name="T13" fmla="*/ 197 h 237"/>
              <a:gd name="T14" fmla="*/ 81 w 85"/>
              <a:gd name="T15" fmla="*/ 197 h 237"/>
              <a:gd name="T16" fmla="*/ 83 w 85"/>
              <a:gd name="T17" fmla="*/ 197 h 237"/>
              <a:gd name="T18" fmla="*/ 83 w 85"/>
              <a:gd name="T19" fmla="*/ 192 h 237"/>
              <a:gd name="T20" fmla="*/ 85 w 85"/>
              <a:gd name="T21" fmla="*/ 181 h 237"/>
              <a:gd name="T22" fmla="*/ 83 w 85"/>
              <a:gd name="T23" fmla="*/ 179 h 237"/>
              <a:gd name="T24" fmla="*/ 81 w 85"/>
              <a:gd name="T25" fmla="*/ 179 h 237"/>
              <a:gd name="T26" fmla="*/ 77 w 85"/>
              <a:gd name="T27" fmla="*/ 172 h 237"/>
              <a:gd name="T28" fmla="*/ 77 w 85"/>
              <a:gd name="T29" fmla="*/ 167 h 237"/>
              <a:gd name="T30" fmla="*/ 72 w 85"/>
              <a:gd name="T31" fmla="*/ 164 h 237"/>
              <a:gd name="T32" fmla="*/ 68 w 85"/>
              <a:gd name="T33" fmla="*/ 160 h 237"/>
              <a:gd name="T34" fmla="*/ 66 w 85"/>
              <a:gd name="T35" fmla="*/ 155 h 237"/>
              <a:gd name="T36" fmla="*/ 65 w 85"/>
              <a:gd name="T37" fmla="*/ 149 h 237"/>
              <a:gd name="T38" fmla="*/ 65 w 85"/>
              <a:gd name="T39" fmla="*/ 143 h 237"/>
              <a:gd name="T40" fmla="*/ 60 w 85"/>
              <a:gd name="T41" fmla="*/ 127 h 237"/>
              <a:gd name="T42" fmla="*/ 30 w 85"/>
              <a:gd name="T43" fmla="*/ 3 h 237"/>
              <a:gd name="T44" fmla="*/ 29 w 85"/>
              <a:gd name="T45" fmla="*/ 0 h 237"/>
              <a:gd name="T46" fmla="*/ 25 w 85"/>
              <a:gd name="T47" fmla="*/ 5 h 237"/>
              <a:gd name="T48" fmla="*/ 21 w 85"/>
              <a:gd name="T49" fmla="*/ 4 h 237"/>
              <a:gd name="T50" fmla="*/ 17 w 85"/>
              <a:gd name="T51" fmla="*/ 8 h 237"/>
              <a:gd name="T52" fmla="*/ 17 w 85"/>
              <a:gd name="T53" fmla="*/ 13 h 237"/>
              <a:gd name="T54" fmla="*/ 15 w 85"/>
              <a:gd name="T55" fmla="*/ 24 h 237"/>
              <a:gd name="T56" fmla="*/ 16 w 85"/>
              <a:gd name="T57" fmla="*/ 29 h 237"/>
              <a:gd name="T58" fmla="*/ 15 w 85"/>
              <a:gd name="T59" fmla="*/ 31 h 237"/>
              <a:gd name="T60" fmla="*/ 14 w 85"/>
              <a:gd name="T61" fmla="*/ 33 h 237"/>
              <a:gd name="T62" fmla="*/ 17 w 85"/>
              <a:gd name="T63" fmla="*/ 41 h 237"/>
              <a:gd name="T64" fmla="*/ 15 w 85"/>
              <a:gd name="T65" fmla="*/ 52 h 237"/>
              <a:gd name="T66" fmla="*/ 15 w 85"/>
              <a:gd name="T67" fmla="*/ 57 h 237"/>
              <a:gd name="T68" fmla="*/ 19 w 85"/>
              <a:gd name="T69" fmla="*/ 63 h 237"/>
              <a:gd name="T70" fmla="*/ 20 w 85"/>
              <a:gd name="T71" fmla="*/ 68 h 237"/>
              <a:gd name="T72" fmla="*/ 20 w 85"/>
              <a:gd name="T73" fmla="*/ 73 h 237"/>
              <a:gd name="T74" fmla="*/ 17 w 85"/>
              <a:gd name="T75" fmla="*/ 81 h 237"/>
              <a:gd name="T76" fmla="*/ 9 w 85"/>
              <a:gd name="T77" fmla="*/ 92 h 237"/>
              <a:gd name="T78" fmla="*/ 8 w 85"/>
              <a:gd name="T79" fmla="*/ 93 h 237"/>
              <a:gd name="T80" fmla="*/ 4 w 85"/>
              <a:gd name="T81" fmla="*/ 99 h 237"/>
              <a:gd name="T82" fmla="*/ 4 w 85"/>
              <a:gd name="T83" fmla="*/ 104 h 237"/>
              <a:gd name="T84" fmla="*/ 7 w 85"/>
              <a:gd name="T85" fmla="*/ 116 h 237"/>
              <a:gd name="T86" fmla="*/ 5 w 85"/>
              <a:gd name="T87" fmla="*/ 125 h 237"/>
              <a:gd name="T88" fmla="*/ 6 w 85"/>
              <a:gd name="T89" fmla="*/ 131 h 237"/>
              <a:gd name="T90" fmla="*/ 4 w 85"/>
              <a:gd name="T91" fmla="*/ 136 h 237"/>
              <a:gd name="T92" fmla="*/ 5 w 85"/>
              <a:gd name="T93" fmla="*/ 141 h 237"/>
              <a:gd name="T94" fmla="*/ 3 w 85"/>
              <a:gd name="T95" fmla="*/ 147 h 237"/>
              <a:gd name="T96" fmla="*/ 1 w 85"/>
              <a:gd name="T97" fmla="*/ 153 h 237"/>
              <a:gd name="T98" fmla="*/ 2 w 85"/>
              <a:gd name="T99" fmla="*/ 161 h 237"/>
              <a:gd name="T100" fmla="*/ 0 w 85"/>
              <a:gd name="T101" fmla="*/ 167 h 237"/>
              <a:gd name="T102" fmla="*/ 3 w 85"/>
              <a:gd name="T103" fmla="*/ 187 h 237"/>
              <a:gd name="T104" fmla="*/ 3 w 85"/>
              <a:gd name="T105" fmla="*/ 197 h 237"/>
              <a:gd name="T106" fmla="*/ 6 w 85"/>
              <a:gd name="T107" fmla="*/ 213 h 237"/>
              <a:gd name="T108" fmla="*/ 4 w 85"/>
              <a:gd name="T109" fmla="*/ 219 h 237"/>
              <a:gd name="T110" fmla="*/ 4 w 85"/>
              <a:gd name="T111" fmla="*/ 225 h 237"/>
              <a:gd name="T112" fmla="*/ 6 w 85"/>
              <a:gd name="T113" fmla="*/ 232 h 237"/>
              <a:gd name="T114" fmla="*/ 10 w 85"/>
              <a:gd name="T115" fmla="*/ 237 h 237"/>
              <a:gd name="T116" fmla="*/ 10 w 85"/>
              <a:gd name="T117" fmla="*/ 237 h 237"/>
              <a:gd name="T118" fmla="*/ 10 w 85"/>
              <a:gd name="T119" fmla="*/ 237 h 23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</a:cxnLst>
            <a:rect l="0" t="0" r="r" b="b"/>
            <a:pathLst>
              <a:path w="85" h="237">
                <a:moveTo>
                  <a:pt x="10" y="237"/>
                </a:moveTo>
                <a:lnTo>
                  <a:pt x="63" y="220"/>
                </a:lnTo>
                <a:lnTo>
                  <a:pt x="68" y="212"/>
                </a:lnTo>
                <a:lnTo>
                  <a:pt x="71" y="207"/>
                </a:lnTo>
                <a:lnTo>
                  <a:pt x="72" y="207"/>
                </a:lnTo>
                <a:lnTo>
                  <a:pt x="75" y="201"/>
                </a:lnTo>
                <a:lnTo>
                  <a:pt x="79" y="197"/>
                </a:lnTo>
                <a:lnTo>
                  <a:pt x="81" y="197"/>
                </a:lnTo>
                <a:lnTo>
                  <a:pt x="83" y="197"/>
                </a:lnTo>
                <a:lnTo>
                  <a:pt x="83" y="192"/>
                </a:lnTo>
                <a:lnTo>
                  <a:pt x="85" y="181"/>
                </a:lnTo>
                <a:lnTo>
                  <a:pt x="83" y="179"/>
                </a:lnTo>
                <a:lnTo>
                  <a:pt x="81" y="179"/>
                </a:lnTo>
                <a:lnTo>
                  <a:pt x="77" y="172"/>
                </a:lnTo>
                <a:lnTo>
                  <a:pt x="77" y="167"/>
                </a:lnTo>
                <a:lnTo>
                  <a:pt x="72" y="164"/>
                </a:lnTo>
                <a:lnTo>
                  <a:pt x="68" y="160"/>
                </a:lnTo>
                <a:lnTo>
                  <a:pt x="66" y="155"/>
                </a:lnTo>
                <a:lnTo>
                  <a:pt x="65" y="149"/>
                </a:lnTo>
                <a:lnTo>
                  <a:pt x="65" y="143"/>
                </a:lnTo>
                <a:lnTo>
                  <a:pt x="60" y="127"/>
                </a:lnTo>
                <a:lnTo>
                  <a:pt x="30" y="3"/>
                </a:lnTo>
                <a:lnTo>
                  <a:pt x="29" y="0"/>
                </a:lnTo>
                <a:lnTo>
                  <a:pt x="25" y="5"/>
                </a:lnTo>
                <a:lnTo>
                  <a:pt x="21" y="4"/>
                </a:lnTo>
                <a:lnTo>
                  <a:pt x="17" y="8"/>
                </a:lnTo>
                <a:lnTo>
                  <a:pt x="17" y="13"/>
                </a:lnTo>
                <a:lnTo>
                  <a:pt x="15" y="24"/>
                </a:lnTo>
                <a:lnTo>
                  <a:pt x="16" y="29"/>
                </a:lnTo>
                <a:lnTo>
                  <a:pt x="15" y="31"/>
                </a:lnTo>
                <a:lnTo>
                  <a:pt x="14" y="33"/>
                </a:lnTo>
                <a:lnTo>
                  <a:pt x="17" y="41"/>
                </a:lnTo>
                <a:lnTo>
                  <a:pt x="15" y="52"/>
                </a:lnTo>
                <a:lnTo>
                  <a:pt x="15" y="57"/>
                </a:lnTo>
                <a:lnTo>
                  <a:pt x="19" y="63"/>
                </a:lnTo>
                <a:lnTo>
                  <a:pt x="20" y="68"/>
                </a:lnTo>
                <a:lnTo>
                  <a:pt x="20" y="73"/>
                </a:lnTo>
                <a:lnTo>
                  <a:pt x="17" y="81"/>
                </a:lnTo>
                <a:lnTo>
                  <a:pt x="9" y="92"/>
                </a:lnTo>
                <a:lnTo>
                  <a:pt x="8" y="93"/>
                </a:lnTo>
                <a:lnTo>
                  <a:pt x="4" y="99"/>
                </a:lnTo>
                <a:lnTo>
                  <a:pt x="4" y="104"/>
                </a:lnTo>
                <a:lnTo>
                  <a:pt x="7" y="116"/>
                </a:lnTo>
                <a:lnTo>
                  <a:pt x="5" y="125"/>
                </a:lnTo>
                <a:lnTo>
                  <a:pt x="6" y="131"/>
                </a:lnTo>
                <a:lnTo>
                  <a:pt x="4" y="136"/>
                </a:lnTo>
                <a:lnTo>
                  <a:pt x="5" y="141"/>
                </a:lnTo>
                <a:lnTo>
                  <a:pt x="3" y="147"/>
                </a:lnTo>
                <a:lnTo>
                  <a:pt x="1" y="153"/>
                </a:lnTo>
                <a:lnTo>
                  <a:pt x="2" y="161"/>
                </a:lnTo>
                <a:lnTo>
                  <a:pt x="0" y="167"/>
                </a:lnTo>
                <a:lnTo>
                  <a:pt x="3" y="187"/>
                </a:lnTo>
                <a:lnTo>
                  <a:pt x="3" y="197"/>
                </a:lnTo>
                <a:lnTo>
                  <a:pt x="6" y="213"/>
                </a:lnTo>
                <a:lnTo>
                  <a:pt x="4" y="219"/>
                </a:lnTo>
                <a:lnTo>
                  <a:pt x="4" y="225"/>
                </a:lnTo>
                <a:lnTo>
                  <a:pt x="6" y="232"/>
                </a:lnTo>
                <a:lnTo>
                  <a:pt x="10" y="237"/>
                </a:lnTo>
                <a:lnTo>
                  <a:pt x="10" y="237"/>
                </a:lnTo>
                <a:lnTo>
                  <a:pt x="10" y="237"/>
                </a:lnTo>
                <a:close/>
              </a:path>
            </a:pathLst>
          </a:custGeom>
          <a:solidFill>
            <a:srgbClr val="E75936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F761E42F-3160-447E-A992-BFDEE6ECC9C7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8">
        <xdr:nvSpPr>
          <xdr:cNvPr id="505" name="CT">
            <a:extLst>
              <a:ext uri="{FF2B5EF4-FFF2-40B4-BE49-F238E27FC236}">
                <a16:creationId xmlns:a16="http://schemas.microsoft.com/office/drawing/2014/main" id="{00000000-0008-0000-0100-0000F9010000}"/>
              </a:ext>
            </a:extLst>
          </xdr:cNvPr>
          <xdr:cNvSpPr>
            <a:spLocks/>
          </xdr:cNvSpPr>
        </xdr:nvSpPr>
        <xdr:spPr bwMode="auto">
          <a:xfrm>
            <a:off x="5459164" y="2317523"/>
            <a:ext cx="142875" cy="128307"/>
          </a:xfrm>
          <a:custGeom>
            <a:avLst/>
            <a:gdLst>
              <a:gd name="T0" fmla="*/ 0 w 89"/>
              <a:gd name="T1" fmla="*/ 24 h 115"/>
              <a:gd name="T2" fmla="*/ 9 w 89"/>
              <a:gd name="T3" fmla="*/ 87 h 115"/>
              <a:gd name="T4" fmla="*/ 11 w 89"/>
              <a:gd name="T5" fmla="*/ 92 h 115"/>
              <a:gd name="T6" fmla="*/ 11 w 89"/>
              <a:gd name="T7" fmla="*/ 98 h 115"/>
              <a:gd name="T8" fmla="*/ 5 w 89"/>
              <a:gd name="T9" fmla="*/ 107 h 115"/>
              <a:gd name="T10" fmla="*/ 5 w 89"/>
              <a:gd name="T11" fmla="*/ 110 h 115"/>
              <a:gd name="T12" fmla="*/ 7 w 89"/>
              <a:gd name="T13" fmla="*/ 112 h 115"/>
              <a:gd name="T14" fmla="*/ 9 w 89"/>
              <a:gd name="T15" fmla="*/ 115 h 115"/>
              <a:gd name="T16" fmla="*/ 13 w 89"/>
              <a:gd name="T17" fmla="*/ 114 h 115"/>
              <a:gd name="T18" fmla="*/ 21 w 89"/>
              <a:gd name="T19" fmla="*/ 102 h 115"/>
              <a:gd name="T20" fmla="*/ 25 w 89"/>
              <a:gd name="T21" fmla="*/ 99 h 115"/>
              <a:gd name="T22" fmla="*/ 28 w 89"/>
              <a:gd name="T23" fmla="*/ 92 h 115"/>
              <a:gd name="T24" fmla="*/ 31 w 89"/>
              <a:gd name="T25" fmla="*/ 95 h 115"/>
              <a:gd name="T26" fmla="*/ 37 w 89"/>
              <a:gd name="T27" fmla="*/ 84 h 115"/>
              <a:gd name="T28" fmla="*/ 41 w 89"/>
              <a:gd name="T29" fmla="*/ 83 h 115"/>
              <a:gd name="T30" fmla="*/ 45 w 89"/>
              <a:gd name="T31" fmla="*/ 79 h 115"/>
              <a:gd name="T32" fmla="*/ 50 w 89"/>
              <a:gd name="T33" fmla="*/ 79 h 115"/>
              <a:gd name="T34" fmla="*/ 52 w 89"/>
              <a:gd name="T35" fmla="*/ 76 h 115"/>
              <a:gd name="T36" fmla="*/ 64 w 89"/>
              <a:gd name="T37" fmla="*/ 72 h 115"/>
              <a:gd name="T38" fmla="*/ 64 w 89"/>
              <a:gd name="T39" fmla="*/ 70 h 115"/>
              <a:gd name="T40" fmla="*/ 63 w 89"/>
              <a:gd name="T41" fmla="*/ 66 h 115"/>
              <a:gd name="T42" fmla="*/ 65 w 89"/>
              <a:gd name="T43" fmla="*/ 67 h 115"/>
              <a:gd name="T44" fmla="*/ 65 w 89"/>
              <a:gd name="T45" fmla="*/ 70 h 115"/>
              <a:gd name="T46" fmla="*/ 69 w 89"/>
              <a:gd name="T47" fmla="*/ 70 h 115"/>
              <a:gd name="T48" fmla="*/ 78 w 89"/>
              <a:gd name="T49" fmla="*/ 63 h 115"/>
              <a:gd name="T50" fmla="*/ 86 w 89"/>
              <a:gd name="T51" fmla="*/ 59 h 115"/>
              <a:gd name="T52" fmla="*/ 88 w 89"/>
              <a:gd name="T53" fmla="*/ 60 h 115"/>
              <a:gd name="T54" fmla="*/ 88 w 89"/>
              <a:gd name="T55" fmla="*/ 58 h 115"/>
              <a:gd name="T56" fmla="*/ 88 w 89"/>
              <a:gd name="T57" fmla="*/ 55 h 115"/>
              <a:gd name="T58" fmla="*/ 89 w 89"/>
              <a:gd name="T59" fmla="*/ 51 h 115"/>
              <a:gd name="T60" fmla="*/ 88 w 89"/>
              <a:gd name="T61" fmla="*/ 46 h 115"/>
              <a:gd name="T62" fmla="*/ 79 w 89"/>
              <a:gd name="T63" fmla="*/ 2 h 115"/>
              <a:gd name="T64" fmla="*/ 76 w 89"/>
              <a:gd name="T65" fmla="*/ 0 h 115"/>
              <a:gd name="T66" fmla="*/ 70 w 89"/>
              <a:gd name="T67" fmla="*/ 3 h 115"/>
              <a:gd name="T68" fmla="*/ 46 w 89"/>
              <a:gd name="T69" fmla="*/ 11 h 115"/>
              <a:gd name="T70" fmla="*/ 42 w 89"/>
              <a:gd name="T71" fmla="*/ 14 h 115"/>
              <a:gd name="T72" fmla="*/ 40 w 89"/>
              <a:gd name="T73" fmla="*/ 12 h 115"/>
              <a:gd name="T74" fmla="*/ 32 w 89"/>
              <a:gd name="T75" fmla="*/ 16 h 115"/>
              <a:gd name="T76" fmla="*/ 28 w 89"/>
              <a:gd name="T77" fmla="*/ 16 h 115"/>
              <a:gd name="T78" fmla="*/ 0 w 89"/>
              <a:gd name="T79" fmla="*/ 24 h 115"/>
              <a:gd name="T80" fmla="*/ 0 w 89"/>
              <a:gd name="T81" fmla="*/ 24 h 115"/>
              <a:gd name="T82" fmla="*/ 0 w 89"/>
              <a:gd name="T83" fmla="*/ 24 h 1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</a:cxnLst>
            <a:rect l="0" t="0" r="r" b="b"/>
            <a:pathLst>
              <a:path w="89" h="115">
                <a:moveTo>
                  <a:pt x="0" y="24"/>
                </a:moveTo>
                <a:lnTo>
                  <a:pt x="9" y="87"/>
                </a:lnTo>
                <a:lnTo>
                  <a:pt x="11" y="92"/>
                </a:lnTo>
                <a:lnTo>
                  <a:pt x="11" y="98"/>
                </a:lnTo>
                <a:lnTo>
                  <a:pt x="5" y="107"/>
                </a:lnTo>
                <a:lnTo>
                  <a:pt x="5" y="110"/>
                </a:lnTo>
                <a:lnTo>
                  <a:pt x="7" y="112"/>
                </a:lnTo>
                <a:lnTo>
                  <a:pt x="9" y="115"/>
                </a:lnTo>
                <a:lnTo>
                  <a:pt x="13" y="114"/>
                </a:lnTo>
                <a:lnTo>
                  <a:pt x="21" y="102"/>
                </a:lnTo>
                <a:lnTo>
                  <a:pt x="25" y="99"/>
                </a:lnTo>
                <a:lnTo>
                  <a:pt x="28" y="92"/>
                </a:lnTo>
                <a:lnTo>
                  <a:pt x="31" y="95"/>
                </a:lnTo>
                <a:lnTo>
                  <a:pt x="37" y="84"/>
                </a:lnTo>
                <a:lnTo>
                  <a:pt x="41" y="83"/>
                </a:lnTo>
                <a:lnTo>
                  <a:pt x="45" y="79"/>
                </a:lnTo>
                <a:lnTo>
                  <a:pt x="50" y="79"/>
                </a:lnTo>
                <a:lnTo>
                  <a:pt x="52" y="76"/>
                </a:lnTo>
                <a:lnTo>
                  <a:pt x="64" y="72"/>
                </a:lnTo>
                <a:lnTo>
                  <a:pt x="64" y="70"/>
                </a:lnTo>
                <a:lnTo>
                  <a:pt x="63" y="66"/>
                </a:lnTo>
                <a:lnTo>
                  <a:pt x="65" y="67"/>
                </a:lnTo>
                <a:lnTo>
                  <a:pt x="65" y="70"/>
                </a:lnTo>
                <a:lnTo>
                  <a:pt x="69" y="70"/>
                </a:lnTo>
                <a:lnTo>
                  <a:pt x="78" y="63"/>
                </a:lnTo>
                <a:lnTo>
                  <a:pt x="86" y="59"/>
                </a:lnTo>
                <a:lnTo>
                  <a:pt x="88" y="60"/>
                </a:lnTo>
                <a:lnTo>
                  <a:pt x="88" y="58"/>
                </a:lnTo>
                <a:lnTo>
                  <a:pt x="88" y="55"/>
                </a:lnTo>
                <a:lnTo>
                  <a:pt x="89" y="51"/>
                </a:lnTo>
                <a:lnTo>
                  <a:pt x="88" y="46"/>
                </a:lnTo>
                <a:lnTo>
                  <a:pt x="79" y="2"/>
                </a:lnTo>
                <a:lnTo>
                  <a:pt x="76" y="0"/>
                </a:lnTo>
                <a:lnTo>
                  <a:pt x="70" y="3"/>
                </a:lnTo>
                <a:lnTo>
                  <a:pt x="46" y="11"/>
                </a:lnTo>
                <a:lnTo>
                  <a:pt x="42" y="14"/>
                </a:lnTo>
                <a:lnTo>
                  <a:pt x="40" y="12"/>
                </a:lnTo>
                <a:lnTo>
                  <a:pt x="32" y="16"/>
                </a:lnTo>
                <a:lnTo>
                  <a:pt x="28" y="16"/>
                </a:lnTo>
                <a:lnTo>
                  <a:pt x="0" y="24"/>
                </a:lnTo>
                <a:lnTo>
                  <a:pt x="0" y="24"/>
                </a:lnTo>
                <a:lnTo>
                  <a:pt x="0" y="24"/>
                </a:lnTo>
                <a:close/>
              </a:path>
            </a:pathLst>
          </a:custGeom>
          <a:solidFill>
            <a:srgbClr val="E75936">
              <a:alpha val="90921"/>
            </a:srgbClr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FC45A582-E7A1-4845-9F22-687ADB473A8D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22">
        <xdr:nvSpPr>
          <xdr:cNvPr id="496" name="MD">
            <a:extLst>
              <a:ext uri="{FF2B5EF4-FFF2-40B4-BE49-F238E27FC236}">
                <a16:creationId xmlns:a16="http://schemas.microsoft.com/office/drawing/2014/main" id="{00000000-0008-0000-0100-0000F0010000}"/>
              </a:ext>
            </a:extLst>
          </xdr:cNvPr>
          <xdr:cNvSpPr>
            <a:spLocks/>
          </xdr:cNvSpPr>
        </xdr:nvSpPr>
        <xdr:spPr bwMode="auto">
          <a:xfrm>
            <a:off x="5054072" y="2621762"/>
            <a:ext cx="366992" cy="175933"/>
          </a:xfrm>
          <a:custGeom>
            <a:avLst/>
            <a:gdLst>
              <a:gd name="T0" fmla="*/ 9 w 232"/>
              <a:gd name="T1" fmla="*/ 87 h 151"/>
              <a:gd name="T2" fmla="*/ 19 w 232"/>
              <a:gd name="T3" fmla="*/ 71 h 151"/>
              <a:gd name="T4" fmla="*/ 29 w 232"/>
              <a:gd name="T5" fmla="*/ 64 h 151"/>
              <a:gd name="T6" fmla="*/ 36 w 232"/>
              <a:gd name="T7" fmla="*/ 48 h 151"/>
              <a:gd name="T8" fmla="*/ 51 w 232"/>
              <a:gd name="T9" fmla="*/ 53 h 151"/>
              <a:gd name="T10" fmla="*/ 59 w 232"/>
              <a:gd name="T11" fmla="*/ 41 h 151"/>
              <a:gd name="T12" fmla="*/ 69 w 232"/>
              <a:gd name="T13" fmla="*/ 36 h 151"/>
              <a:gd name="T14" fmla="*/ 82 w 232"/>
              <a:gd name="T15" fmla="*/ 39 h 151"/>
              <a:gd name="T16" fmla="*/ 85 w 232"/>
              <a:gd name="T17" fmla="*/ 52 h 151"/>
              <a:gd name="T18" fmla="*/ 98 w 232"/>
              <a:gd name="T19" fmla="*/ 60 h 151"/>
              <a:gd name="T20" fmla="*/ 103 w 232"/>
              <a:gd name="T21" fmla="*/ 75 h 151"/>
              <a:gd name="T22" fmla="*/ 118 w 232"/>
              <a:gd name="T23" fmla="*/ 80 h 151"/>
              <a:gd name="T24" fmla="*/ 129 w 232"/>
              <a:gd name="T25" fmla="*/ 80 h 151"/>
              <a:gd name="T26" fmla="*/ 131 w 232"/>
              <a:gd name="T27" fmla="*/ 95 h 151"/>
              <a:gd name="T28" fmla="*/ 129 w 232"/>
              <a:gd name="T29" fmla="*/ 112 h 151"/>
              <a:gd name="T30" fmla="*/ 124 w 232"/>
              <a:gd name="T31" fmla="*/ 124 h 151"/>
              <a:gd name="T32" fmla="*/ 131 w 232"/>
              <a:gd name="T33" fmla="*/ 129 h 151"/>
              <a:gd name="T34" fmla="*/ 138 w 232"/>
              <a:gd name="T35" fmla="*/ 129 h 151"/>
              <a:gd name="T36" fmla="*/ 146 w 232"/>
              <a:gd name="T37" fmla="*/ 132 h 151"/>
              <a:gd name="T38" fmla="*/ 152 w 232"/>
              <a:gd name="T39" fmla="*/ 140 h 151"/>
              <a:gd name="T40" fmla="*/ 164 w 232"/>
              <a:gd name="T41" fmla="*/ 144 h 151"/>
              <a:gd name="T42" fmla="*/ 174 w 232"/>
              <a:gd name="T43" fmla="*/ 148 h 151"/>
              <a:gd name="T44" fmla="*/ 166 w 232"/>
              <a:gd name="T45" fmla="*/ 129 h 151"/>
              <a:gd name="T46" fmla="*/ 153 w 232"/>
              <a:gd name="T47" fmla="*/ 116 h 151"/>
              <a:gd name="T48" fmla="*/ 151 w 232"/>
              <a:gd name="T49" fmla="*/ 107 h 151"/>
              <a:gd name="T50" fmla="*/ 164 w 232"/>
              <a:gd name="T51" fmla="*/ 123 h 151"/>
              <a:gd name="T52" fmla="*/ 160 w 232"/>
              <a:gd name="T53" fmla="*/ 111 h 151"/>
              <a:gd name="T54" fmla="*/ 157 w 232"/>
              <a:gd name="T55" fmla="*/ 88 h 151"/>
              <a:gd name="T56" fmla="*/ 152 w 232"/>
              <a:gd name="T57" fmla="*/ 69 h 151"/>
              <a:gd name="T58" fmla="*/ 159 w 232"/>
              <a:gd name="T59" fmla="*/ 69 h 151"/>
              <a:gd name="T60" fmla="*/ 146 w 232"/>
              <a:gd name="T61" fmla="*/ 52 h 151"/>
              <a:gd name="T62" fmla="*/ 155 w 232"/>
              <a:gd name="T63" fmla="*/ 51 h 151"/>
              <a:gd name="T64" fmla="*/ 156 w 232"/>
              <a:gd name="T65" fmla="*/ 41 h 151"/>
              <a:gd name="T66" fmla="*/ 160 w 232"/>
              <a:gd name="T67" fmla="*/ 40 h 151"/>
              <a:gd name="T68" fmla="*/ 162 w 232"/>
              <a:gd name="T69" fmla="*/ 33 h 151"/>
              <a:gd name="T70" fmla="*/ 166 w 232"/>
              <a:gd name="T71" fmla="*/ 21 h 151"/>
              <a:gd name="T72" fmla="*/ 173 w 232"/>
              <a:gd name="T73" fmla="*/ 15 h 151"/>
              <a:gd name="T74" fmla="*/ 177 w 232"/>
              <a:gd name="T75" fmla="*/ 19 h 151"/>
              <a:gd name="T76" fmla="*/ 173 w 232"/>
              <a:gd name="T77" fmla="*/ 33 h 151"/>
              <a:gd name="T78" fmla="*/ 164 w 232"/>
              <a:gd name="T79" fmla="*/ 56 h 151"/>
              <a:gd name="T80" fmla="*/ 170 w 232"/>
              <a:gd name="T81" fmla="*/ 56 h 151"/>
              <a:gd name="T82" fmla="*/ 166 w 232"/>
              <a:gd name="T83" fmla="*/ 69 h 151"/>
              <a:gd name="T84" fmla="*/ 163 w 232"/>
              <a:gd name="T85" fmla="*/ 76 h 151"/>
              <a:gd name="T86" fmla="*/ 171 w 232"/>
              <a:gd name="T87" fmla="*/ 76 h 151"/>
              <a:gd name="T88" fmla="*/ 174 w 232"/>
              <a:gd name="T89" fmla="*/ 87 h 151"/>
              <a:gd name="T90" fmla="*/ 165 w 232"/>
              <a:gd name="T91" fmla="*/ 91 h 151"/>
              <a:gd name="T92" fmla="*/ 172 w 232"/>
              <a:gd name="T93" fmla="*/ 88 h 151"/>
              <a:gd name="T94" fmla="*/ 181 w 232"/>
              <a:gd name="T95" fmla="*/ 99 h 151"/>
              <a:gd name="T96" fmla="*/ 172 w 232"/>
              <a:gd name="T97" fmla="*/ 100 h 151"/>
              <a:gd name="T98" fmla="*/ 173 w 232"/>
              <a:gd name="T99" fmla="*/ 113 h 151"/>
              <a:gd name="T100" fmla="*/ 176 w 232"/>
              <a:gd name="T101" fmla="*/ 120 h 151"/>
              <a:gd name="T102" fmla="*/ 188 w 232"/>
              <a:gd name="T103" fmla="*/ 128 h 151"/>
              <a:gd name="T104" fmla="*/ 188 w 232"/>
              <a:gd name="T105" fmla="*/ 123 h 151"/>
              <a:gd name="T106" fmla="*/ 194 w 232"/>
              <a:gd name="T107" fmla="*/ 125 h 151"/>
              <a:gd name="T108" fmla="*/ 194 w 232"/>
              <a:gd name="T109" fmla="*/ 137 h 151"/>
              <a:gd name="T110" fmla="*/ 203 w 232"/>
              <a:gd name="T111" fmla="*/ 136 h 151"/>
              <a:gd name="T112" fmla="*/ 199 w 232"/>
              <a:gd name="T113" fmla="*/ 151 h 151"/>
              <a:gd name="T114" fmla="*/ 214 w 232"/>
              <a:gd name="T115" fmla="*/ 141 h 151"/>
              <a:gd name="T116" fmla="*/ 226 w 232"/>
              <a:gd name="T117" fmla="*/ 127 h 151"/>
              <a:gd name="T118" fmla="*/ 232 w 232"/>
              <a:gd name="T119" fmla="*/ 107 h 151"/>
              <a:gd name="T120" fmla="*/ 231 w 232"/>
              <a:gd name="T121" fmla="*/ 97 h 151"/>
              <a:gd name="T122" fmla="*/ 192 w 232"/>
              <a:gd name="T123" fmla="*/ 63 h 151"/>
              <a:gd name="T124" fmla="*/ 0 w 232"/>
              <a:gd name="T125" fmla="*/ 48 h 1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232" h="151">
                <a:moveTo>
                  <a:pt x="0" y="48"/>
                </a:moveTo>
                <a:lnTo>
                  <a:pt x="5" y="93"/>
                </a:lnTo>
                <a:lnTo>
                  <a:pt x="9" y="87"/>
                </a:lnTo>
                <a:lnTo>
                  <a:pt x="13" y="83"/>
                </a:lnTo>
                <a:lnTo>
                  <a:pt x="15" y="77"/>
                </a:lnTo>
                <a:lnTo>
                  <a:pt x="19" y="71"/>
                </a:lnTo>
                <a:lnTo>
                  <a:pt x="21" y="65"/>
                </a:lnTo>
                <a:lnTo>
                  <a:pt x="25" y="64"/>
                </a:lnTo>
                <a:lnTo>
                  <a:pt x="29" y="64"/>
                </a:lnTo>
                <a:lnTo>
                  <a:pt x="34" y="53"/>
                </a:lnTo>
                <a:lnTo>
                  <a:pt x="35" y="48"/>
                </a:lnTo>
                <a:lnTo>
                  <a:pt x="36" y="48"/>
                </a:lnTo>
                <a:lnTo>
                  <a:pt x="40" y="53"/>
                </a:lnTo>
                <a:lnTo>
                  <a:pt x="44" y="53"/>
                </a:lnTo>
                <a:lnTo>
                  <a:pt x="51" y="53"/>
                </a:lnTo>
                <a:lnTo>
                  <a:pt x="51" y="48"/>
                </a:lnTo>
                <a:lnTo>
                  <a:pt x="55" y="41"/>
                </a:lnTo>
                <a:lnTo>
                  <a:pt x="59" y="41"/>
                </a:lnTo>
                <a:lnTo>
                  <a:pt x="61" y="36"/>
                </a:lnTo>
                <a:lnTo>
                  <a:pt x="65" y="33"/>
                </a:lnTo>
                <a:lnTo>
                  <a:pt x="69" y="36"/>
                </a:lnTo>
                <a:lnTo>
                  <a:pt x="73" y="40"/>
                </a:lnTo>
                <a:lnTo>
                  <a:pt x="81" y="39"/>
                </a:lnTo>
                <a:lnTo>
                  <a:pt x="82" y="39"/>
                </a:lnTo>
                <a:lnTo>
                  <a:pt x="80" y="45"/>
                </a:lnTo>
                <a:lnTo>
                  <a:pt x="84" y="47"/>
                </a:lnTo>
                <a:lnTo>
                  <a:pt x="85" y="52"/>
                </a:lnTo>
                <a:lnTo>
                  <a:pt x="88" y="56"/>
                </a:lnTo>
                <a:lnTo>
                  <a:pt x="89" y="60"/>
                </a:lnTo>
                <a:lnTo>
                  <a:pt x="98" y="60"/>
                </a:lnTo>
                <a:lnTo>
                  <a:pt x="102" y="64"/>
                </a:lnTo>
                <a:lnTo>
                  <a:pt x="104" y="69"/>
                </a:lnTo>
                <a:lnTo>
                  <a:pt x="103" y="75"/>
                </a:lnTo>
                <a:lnTo>
                  <a:pt x="108" y="77"/>
                </a:lnTo>
                <a:lnTo>
                  <a:pt x="113" y="77"/>
                </a:lnTo>
                <a:lnTo>
                  <a:pt x="118" y="80"/>
                </a:lnTo>
                <a:lnTo>
                  <a:pt x="121" y="83"/>
                </a:lnTo>
                <a:lnTo>
                  <a:pt x="124" y="84"/>
                </a:lnTo>
                <a:lnTo>
                  <a:pt x="129" y="80"/>
                </a:lnTo>
                <a:lnTo>
                  <a:pt x="134" y="85"/>
                </a:lnTo>
                <a:lnTo>
                  <a:pt x="134" y="89"/>
                </a:lnTo>
                <a:lnTo>
                  <a:pt x="131" y="95"/>
                </a:lnTo>
                <a:lnTo>
                  <a:pt x="132" y="101"/>
                </a:lnTo>
                <a:lnTo>
                  <a:pt x="129" y="107"/>
                </a:lnTo>
                <a:lnTo>
                  <a:pt x="129" y="112"/>
                </a:lnTo>
                <a:lnTo>
                  <a:pt x="126" y="117"/>
                </a:lnTo>
                <a:lnTo>
                  <a:pt x="125" y="119"/>
                </a:lnTo>
                <a:lnTo>
                  <a:pt x="124" y="124"/>
                </a:lnTo>
                <a:lnTo>
                  <a:pt x="125" y="129"/>
                </a:lnTo>
                <a:lnTo>
                  <a:pt x="128" y="135"/>
                </a:lnTo>
                <a:lnTo>
                  <a:pt x="131" y="129"/>
                </a:lnTo>
                <a:lnTo>
                  <a:pt x="132" y="125"/>
                </a:lnTo>
                <a:lnTo>
                  <a:pt x="136" y="123"/>
                </a:lnTo>
                <a:lnTo>
                  <a:pt x="138" y="129"/>
                </a:lnTo>
                <a:lnTo>
                  <a:pt x="141" y="135"/>
                </a:lnTo>
                <a:lnTo>
                  <a:pt x="146" y="137"/>
                </a:lnTo>
                <a:lnTo>
                  <a:pt x="146" y="132"/>
                </a:lnTo>
                <a:lnTo>
                  <a:pt x="147" y="129"/>
                </a:lnTo>
                <a:lnTo>
                  <a:pt x="148" y="135"/>
                </a:lnTo>
                <a:lnTo>
                  <a:pt x="152" y="140"/>
                </a:lnTo>
                <a:lnTo>
                  <a:pt x="157" y="137"/>
                </a:lnTo>
                <a:lnTo>
                  <a:pt x="161" y="139"/>
                </a:lnTo>
                <a:lnTo>
                  <a:pt x="164" y="144"/>
                </a:lnTo>
                <a:lnTo>
                  <a:pt x="165" y="143"/>
                </a:lnTo>
                <a:lnTo>
                  <a:pt x="170" y="143"/>
                </a:lnTo>
                <a:lnTo>
                  <a:pt x="174" y="148"/>
                </a:lnTo>
                <a:lnTo>
                  <a:pt x="175" y="143"/>
                </a:lnTo>
                <a:lnTo>
                  <a:pt x="170" y="132"/>
                </a:lnTo>
                <a:lnTo>
                  <a:pt x="166" y="129"/>
                </a:lnTo>
                <a:lnTo>
                  <a:pt x="161" y="125"/>
                </a:lnTo>
                <a:lnTo>
                  <a:pt x="155" y="121"/>
                </a:lnTo>
                <a:lnTo>
                  <a:pt x="153" y="116"/>
                </a:lnTo>
                <a:lnTo>
                  <a:pt x="150" y="104"/>
                </a:lnTo>
                <a:lnTo>
                  <a:pt x="150" y="101"/>
                </a:lnTo>
                <a:lnTo>
                  <a:pt x="151" y="107"/>
                </a:lnTo>
                <a:lnTo>
                  <a:pt x="155" y="117"/>
                </a:lnTo>
                <a:lnTo>
                  <a:pt x="160" y="121"/>
                </a:lnTo>
                <a:lnTo>
                  <a:pt x="164" y="123"/>
                </a:lnTo>
                <a:lnTo>
                  <a:pt x="166" y="127"/>
                </a:lnTo>
                <a:lnTo>
                  <a:pt x="168" y="121"/>
                </a:lnTo>
                <a:lnTo>
                  <a:pt x="160" y="111"/>
                </a:lnTo>
                <a:lnTo>
                  <a:pt x="158" y="99"/>
                </a:lnTo>
                <a:lnTo>
                  <a:pt x="155" y="93"/>
                </a:lnTo>
                <a:lnTo>
                  <a:pt x="157" y="88"/>
                </a:lnTo>
                <a:lnTo>
                  <a:pt x="155" y="83"/>
                </a:lnTo>
                <a:lnTo>
                  <a:pt x="155" y="72"/>
                </a:lnTo>
                <a:lnTo>
                  <a:pt x="152" y="69"/>
                </a:lnTo>
                <a:lnTo>
                  <a:pt x="153" y="68"/>
                </a:lnTo>
                <a:lnTo>
                  <a:pt x="157" y="69"/>
                </a:lnTo>
                <a:lnTo>
                  <a:pt x="159" y="69"/>
                </a:lnTo>
                <a:lnTo>
                  <a:pt x="155" y="65"/>
                </a:lnTo>
                <a:lnTo>
                  <a:pt x="156" y="60"/>
                </a:lnTo>
                <a:lnTo>
                  <a:pt x="146" y="52"/>
                </a:lnTo>
                <a:lnTo>
                  <a:pt x="150" y="51"/>
                </a:lnTo>
                <a:lnTo>
                  <a:pt x="151" y="51"/>
                </a:lnTo>
                <a:lnTo>
                  <a:pt x="155" y="51"/>
                </a:lnTo>
                <a:lnTo>
                  <a:pt x="151" y="47"/>
                </a:lnTo>
                <a:lnTo>
                  <a:pt x="155" y="48"/>
                </a:lnTo>
                <a:lnTo>
                  <a:pt x="156" y="41"/>
                </a:lnTo>
                <a:lnTo>
                  <a:pt x="155" y="37"/>
                </a:lnTo>
                <a:lnTo>
                  <a:pt x="156" y="35"/>
                </a:lnTo>
                <a:lnTo>
                  <a:pt x="160" y="40"/>
                </a:lnTo>
                <a:lnTo>
                  <a:pt x="160" y="32"/>
                </a:lnTo>
                <a:lnTo>
                  <a:pt x="161" y="28"/>
                </a:lnTo>
                <a:lnTo>
                  <a:pt x="162" y="33"/>
                </a:lnTo>
                <a:lnTo>
                  <a:pt x="166" y="32"/>
                </a:lnTo>
                <a:lnTo>
                  <a:pt x="169" y="27"/>
                </a:lnTo>
                <a:lnTo>
                  <a:pt x="166" y="21"/>
                </a:lnTo>
                <a:lnTo>
                  <a:pt x="167" y="17"/>
                </a:lnTo>
                <a:lnTo>
                  <a:pt x="171" y="17"/>
                </a:lnTo>
                <a:lnTo>
                  <a:pt x="173" y="15"/>
                </a:lnTo>
                <a:lnTo>
                  <a:pt x="172" y="20"/>
                </a:lnTo>
                <a:lnTo>
                  <a:pt x="176" y="16"/>
                </a:lnTo>
                <a:lnTo>
                  <a:pt x="177" y="19"/>
                </a:lnTo>
                <a:lnTo>
                  <a:pt x="172" y="29"/>
                </a:lnTo>
                <a:lnTo>
                  <a:pt x="177" y="31"/>
                </a:lnTo>
                <a:lnTo>
                  <a:pt x="173" y="33"/>
                </a:lnTo>
                <a:lnTo>
                  <a:pt x="169" y="33"/>
                </a:lnTo>
                <a:lnTo>
                  <a:pt x="166" y="39"/>
                </a:lnTo>
                <a:lnTo>
                  <a:pt x="164" y="56"/>
                </a:lnTo>
                <a:lnTo>
                  <a:pt x="167" y="61"/>
                </a:lnTo>
                <a:lnTo>
                  <a:pt x="168" y="56"/>
                </a:lnTo>
                <a:lnTo>
                  <a:pt x="170" y="56"/>
                </a:lnTo>
                <a:lnTo>
                  <a:pt x="170" y="61"/>
                </a:lnTo>
                <a:lnTo>
                  <a:pt x="171" y="64"/>
                </a:lnTo>
                <a:lnTo>
                  <a:pt x="166" y="69"/>
                </a:lnTo>
                <a:lnTo>
                  <a:pt x="163" y="69"/>
                </a:lnTo>
                <a:lnTo>
                  <a:pt x="163" y="81"/>
                </a:lnTo>
                <a:lnTo>
                  <a:pt x="163" y="76"/>
                </a:lnTo>
                <a:lnTo>
                  <a:pt x="167" y="72"/>
                </a:lnTo>
                <a:lnTo>
                  <a:pt x="168" y="71"/>
                </a:lnTo>
                <a:lnTo>
                  <a:pt x="171" y="76"/>
                </a:lnTo>
                <a:lnTo>
                  <a:pt x="175" y="76"/>
                </a:lnTo>
                <a:lnTo>
                  <a:pt x="172" y="81"/>
                </a:lnTo>
                <a:lnTo>
                  <a:pt x="174" y="87"/>
                </a:lnTo>
                <a:lnTo>
                  <a:pt x="170" y="83"/>
                </a:lnTo>
                <a:lnTo>
                  <a:pt x="166" y="84"/>
                </a:lnTo>
                <a:lnTo>
                  <a:pt x="165" y="91"/>
                </a:lnTo>
                <a:lnTo>
                  <a:pt x="167" y="96"/>
                </a:lnTo>
                <a:lnTo>
                  <a:pt x="168" y="89"/>
                </a:lnTo>
                <a:lnTo>
                  <a:pt x="172" y="88"/>
                </a:lnTo>
                <a:lnTo>
                  <a:pt x="175" y="91"/>
                </a:lnTo>
                <a:lnTo>
                  <a:pt x="176" y="96"/>
                </a:lnTo>
                <a:lnTo>
                  <a:pt x="181" y="99"/>
                </a:lnTo>
                <a:lnTo>
                  <a:pt x="185" y="96"/>
                </a:lnTo>
                <a:lnTo>
                  <a:pt x="182" y="101"/>
                </a:lnTo>
                <a:lnTo>
                  <a:pt x="172" y="100"/>
                </a:lnTo>
                <a:lnTo>
                  <a:pt x="171" y="105"/>
                </a:lnTo>
                <a:lnTo>
                  <a:pt x="175" y="103"/>
                </a:lnTo>
                <a:lnTo>
                  <a:pt x="173" y="113"/>
                </a:lnTo>
                <a:lnTo>
                  <a:pt x="173" y="119"/>
                </a:lnTo>
                <a:lnTo>
                  <a:pt x="177" y="125"/>
                </a:lnTo>
                <a:lnTo>
                  <a:pt x="176" y="120"/>
                </a:lnTo>
                <a:lnTo>
                  <a:pt x="180" y="123"/>
                </a:lnTo>
                <a:lnTo>
                  <a:pt x="184" y="127"/>
                </a:lnTo>
                <a:lnTo>
                  <a:pt x="188" y="128"/>
                </a:lnTo>
                <a:lnTo>
                  <a:pt x="186" y="123"/>
                </a:lnTo>
                <a:lnTo>
                  <a:pt x="188" y="117"/>
                </a:lnTo>
                <a:lnTo>
                  <a:pt x="188" y="123"/>
                </a:lnTo>
                <a:lnTo>
                  <a:pt x="190" y="125"/>
                </a:lnTo>
                <a:lnTo>
                  <a:pt x="194" y="115"/>
                </a:lnTo>
                <a:lnTo>
                  <a:pt x="194" y="125"/>
                </a:lnTo>
                <a:lnTo>
                  <a:pt x="196" y="127"/>
                </a:lnTo>
                <a:lnTo>
                  <a:pt x="193" y="132"/>
                </a:lnTo>
                <a:lnTo>
                  <a:pt x="194" y="137"/>
                </a:lnTo>
                <a:lnTo>
                  <a:pt x="198" y="135"/>
                </a:lnTo>
                <a:lnTo>
                  <a:pt x="199" y="137"/>
                </a:lnTo>
                <a:lnTo>
                  <a:pt x="203" y="136"/>
                </a:lnTo>
                <a:lnTo>
                  <a:pt x="202" y="141"/>
                </a:lnTo>
                <a:lnTo>
                  <a:pt x="199" y="147"/>
                </a:lnTo>
                <a:lnTo>
                  <a:pt x="199" y="151"/>
                </a:lnTo>
                <a:lnTo>
                  <a:pt x="207" y="147"/>
                </a:lnTo>
                <a:lnTo>
                  <a:pt x="210" y="147"/>
                </a:lnTo>
                <a:lnTo>
                  <a:pt x="214" y="141"/>
                </a:lnTo>
                <a:lnTo>
                  <a:pt x="223" y="137"/>
                </a:lnTo>
                <a:lnTo>
                  <a:pt x="223" y="132"/>
                </a:lnTo>
                <a:lnTo>
                  <a:pt x="226" y="127"/>
                </a:lnTo>
                <a:lnTo>
                  <a:pt x="228" y="116"/>
                </a:lnTo>
                <a:lnTo>
                  <a:pt x="230" y="117"/>
                </a:lnTo>
                <a:lnTo>
                  <a:pt x="232" y="107"/>
                </a:lnTo>
                <a:lnTo>
                  <a:pt x="228" y="101"/>
                </a:lnTo>
                <a:lnTo>
                  <a:pt x="230" y="99"/>
                </a:lnTo>
                <a:lnTo>
                  <a:pt x="231" y="97"/>
                </a:lnTo>
                <a:lnTo>
                  <a:pt x="201" y="107"/>
                </a:lnTo>
                <a:lnTo>
                  <a:pt x="199" y="100"/>
                </a:lnTo>
                <a:lnTo>
                  <a:pt x="192" y="63"/>
                </a:lnTo>
                <a:lnTo>
                  <a:pt x="179" y="0"/>
                </a:lnTo>
                <a:lnTo>
                  <a:pt x="84" y="27"/>
                </a:lnTo>
                <a:lnTo>
                  <a:pt x="0" y="48"/>
                </a:lnTo>
                <a:lnTo>
                  <a:pt x="0" y="48"/>
                </a:lnTo>
                <a:lnTo>
                  <a:pt x="0" y="48"/>
                </a:lnTo>
                <a:close/>
              </a:path>
            </a:pathLst>
          </a:custGeom>
          <a:solidFill>
            <a:srgbClr val="E75936">
              <a:alpha val="47741"/>
            </a:srgbClr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60B4E0DC-FC57-4CFF-9590-B2F28A998C7B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">
        <xdr:nvSpPr>
          <xdr:cNvPr id="501" name="Freeform 174">
            <a:extLst>
              <a:ext uri="{FF2B5EF4-FFF2-40B4-BE49-F238E27FC236}">
                <a16:creationId xmlns:a16="http://schemas.microsoft.com/office/drawing/2014/main" id="{00000000-0008-0000-0100-0000F5010000}"/>
              </a:ext>
            </a:extLst>
          </xdr:cNvPr>
          <xdr:cNvSpPr>
            <a:spLocks/>
          </xdr:cNvSpPr>
        </xdr:nvSpPr>
        <xdr:spPr bwMode="auto">
          <a:xfrm>
            <a:off x="5377922" y="2778645"/>
            <a:ext cx="38100" cy="104775"/>
          </a:xfrm>
          <a:custGeom>
            <a:avLst/>
            <a:gdLst>
              <a:gd name="T0" fmla="*/ 7 w 21"/>
              <a:gd name="T1" fmla="*/ 63 h 83"/>
              <a:gd name="T2" fmla="*/ 8 w 21"/>
              <a:gd name="T3" fmla="*/ 56 h 83"/>
              <a:gd name="T4" fmla="*/ 10 w 21"/>
              <a:gd name="T5" fmla="*/ 51 h 83"/>
              <a:gd name="T6" fmla="*/ 11 w 21"/>
              <a:gd name="T7" fmla="*/ 46 h 83"/>
              <a:gd name="T8" fmla="*/ 15 w 21"/>
              <a:gd name="T9" fmla="*/ 50 h 83"/>
              <a:gd name="T10" fmla="*/ 15 w 21"/>
              <a:gd name="T11" fmla="*/ 50 h 83"/>
              <a:gd name="T12" fmla="*/ 16 w 21"/>
              <a:gd name="T13" fmla="*/ 43 h 83"/>
              <a:gd name="T14" fmla="*/ 16 w 21"/>
              <a:gd name="T15" fmla="*/ 32 h 83"/>
              <a:gd name="T16" fmla="*/ 18 w 21"/>
              <a:gd name="T17" fmla="*/ 22 h 83"/>
              <a:gd name="T18" fmla="*/ 20 w 21"/>
              <a:gd name="T19" fmla="*/ 14 h 83"/>
              <a:gd name="T20" fmla="*/ 20 w 21"/>
              <a:gd name="T21" fmla="*/ 8 h 83"/>
              <a:gd name="T22" fmla="*/ 21 w 21"/>
              <a:gd name="T23" fmla="*/ 0 h 83"/>
              <a:gd name="T24" fmla="*/ 12 w 21"/>
              <a:gd name="T25" fmla="*/ 4 h 83"/>
              <a:gd name="T26" fmla="*/ 8 w 21"/>
              <a:gd name="T27" fmla="*/ 10 h 83"/>
              <a:gd name="T28" fmla="*/ 5 w 21"/>
              <a:gd name="T29" fmla="*/ 15 h 83"/>
              <a:gd name="T30" fmla="*/ 9 w 21"/>
              <a:gd name="T31" fmla="*/ 19 h 83"/>
              <a:gd name="T32" fmla="*/ 8 w 21"/>
              <a:gd name="T33" fmla="*/ 24 h 83"/>
              <a:gd name="T34" fmla="*/ 4 w 21"/>
              <a:gd name="T35" fmla="*/ 24 h 83"/>
              <a:gd name="T36" fmla="*/ 4 w 21"/>
              <a:gd name="T37" fmla="*/ 36 h 83"/>
              <a:gd name="T38" fmla="*/ 0 w 21"/>
              <a:gd name="T39" fmla="*/ 46 h 83"/>
              <a:gd name="T40" fmla="*/ 0 w 21"/>
              <a:gd name="T41" fmla="*/ 56 h 83"/>
              <a:gd name="T42" fmla="*/ 1 w 21"/>
              <a:gd name="T43" fmla="*/ 63 h 83"/>
              <a:gd name="T44" fmla="*/ 0 w 21"/>
              <a:gd name="T45" fmla="*/ 64 h 83"/>
              <a:gd name="T46" fmla="*/ 0 w 21"/>
              <a:gd name="T47" fmla="*/ 75 h 83"/>
              <a:gd name="T48" fmla="*/ 4 w 21"/>
              <a:gd name="T49" fmla="*/ 83 h 83"/>
              <a:gd name="T50" fmla="*/ 8 w 21"/>
              <a:gd name="T51" fmla="*/ 72 h 83"/>
              <a:gd name="T52" fmla="*/ 7 w 21"/>
              <a:gd name="T53" fmla="*/ 63 h 83"/>
              <a:gd name="T54" fmla="*/ 7 w 21"/>
              <a:gd name="T55" fmla="*/ 63 h 83"/>
              <a:gd name="T56" fmla="*/ 7 w 21"/>
              <a:gd name="T57" fmla="*/ 63 h 8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</a:cxnLst>
            <a:rect l="0" t="0" r="r" b="b"/>
            <a:pathLst>
              <a:path w="21" h="83">
                <a:moveTo>
                  <a:pt x="7" y="63"/>
                </a:moveTo>
                <a:lnTo>
                  <a:pt x="8" y="56"/>
                </a:lnTo>
                <a:lnTo>
                  <a:pt x="10" y="51"/>
                </a:lnTo>
                <a:lnTo>
                  <a:pt x="11" y="46"/>
                </a:lnTo>
                <a:lnTo>
                  <a:pt x="15" y="50"/>
                </a:lnTo>
                <a:lnTo>
                  <a:pt x="15" y="50"/>
                </a:lnTo>
                <a:lnTo>
                  <a:pt x="16" y="43"/>
                </a:lnTo>
                <a:lnTo>
                  <a:pt x="16" y="32"/>
                </a:lnTo>
                <a:lnTo>
                  <a:pt x="18" y="22"/>
                </a:lnTo>
                <a:lnTo>
                  <a:pt x="20" y="14"/>
                </a:lnTo>
                <a:lnTo>
                  <a:pt x="20" y="8"/>
                </a:lnTo>
                <a:lnTo>
                  <a:pt x="21" y="0"/>
                </a:lnTo>
                <a:lnTo>
                  <a:pt x="12" y="4"/>
                </a:lnTo>
                <a:lnTo>
                  <a:pt x="8" y="10"/>
                </a:lnTo>
                <a:lnTo>
                  <a:pt x="5" y="15"/>
                </a:lnTo>
                <a:lnTo>
                  <a:pt x="9" y="19"/>
                </a:lnTo>
                <a:lnTo>
                  <a:pt x="8" y="24"/>
                </a:lnTo>
                <a:lnTo>
                  <a:pt x="4" y="24"/>
                </a:lnTo>
                <a:lnTo>
                  <a:pt x="4" y="36"/>
                </a:lnTo>
                <a:lnTo>
                  <a:pt x="0" y="46"/>
                </a:lnTo>
                <a:lnTo>
                  <a:pt x="0" y="56"/>
                </a:lnTo>
                <a:lnTo>
                  <a:pt x="1" y="63"/>
                </a:lnTo>
                <a:lnTo>
                  <a:pt x="0" y="64"/>
                </a:lnTo>
                <a:lnTo>
                  <a:pt x="0" y="75"/>
                </a:lnTo>
                <a:lnTo>
                  <a:pt x="4" y="83"/>
                </a:lnTo>
                <a:lnTo>
                  <a:pt x="8" y="72"/>
                </a:lnTo>
                <a:lnTo>
                  <a:pt x="7" y="63"/>
                </a:lnTo>
                <a:lnTo>
                  <a:pt x="7" y="63"/>
                </a:lnTo>
                <a:lnTo>
                  <a:pt x="7" y="63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">
        <xdr:nvSpPr>
          <xdr:cNvPr id="522" name="Freeform 195">
            <a:extLst>
              <a:ext uri="{FF2B5EF4-FFF2-40B4-BE49-F238E27FC236}">
                <a16:creationId xmlns:a16="http://schemas.microsoft.com/office/drawing/2014/main" id="{00000000-0008-0000-0100-00000A020000}"/>
              </a:ext>
            </a:extLst>
          </xdr:cNvPr>
          <xdr:cNvSpPr>
            <a:spLocks/>
          </xdr:cNvSpPr>
        </xdr:nvSpPr>
        <xdr:spPr bwMode="auto">
          <a:xfrm>
            <a:off x="5887789" y="2498498"/>
            <a:ext cx="9525" cy="9525"/>
          </a:xfrm>
          <a:custGeom>
            <a:avLst/>
            <a:gdLst>
              <a:gd name="T0" fmla="*/ 8 w 10"/>
              <a:gd name="T1" fmla="*/ 10 h 12"/>
              <a:gd name="T2" fmla="*/ 10 w 10"/>
              <a:gd name="T3" fmla="*/ 8 h 12"/>
              <a:gd name="T4" fmla="*/ 7 w 10"/>
              <a:gd name="T5" fmla="*/ 3 h 12"/>
              <a:gd name="T6" fmla="*/ 4 w 10"/>
              <a:gd name="T7" fmla="*/ 0 h 12"/>
              <a:gd name="T8" fmla="*/ 5 w 10"/>
              <a:gd name="T9" fmla="*/ 2 h 12"/>
              <a:gd name="T10" fmla="*/ 4 w 10"/>
              <a:gd name="T11" fmla="*/ 7 h 12"/>
              <a:gd name="T12" fmla="*/ 0 w 10"/>
              <a:gd name="T13" fmla="*/ 12 h 12"/>
              <a:gd name="T14" fmla="*/ 8 w 10"/>
              <a:gd name="T15" fmla="*/ 10 h 12"/>
              <a:gd name="T16" fmla="*/ 8 w 10"/>
              <a:gd name="T17" fmla="*/ 10 h 12"/>
              <a:gd name="T18" fmla="*/ 8 w 10"/>
              <a:gd name="T19" fmla="*/ 1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10" h="12">
                <a:moveTo>
                  <a:pt x="8" y="10"/>
                </a:moveTo>
                <a:lnTo>
                  <a:pt x="10" y="8"/>
                </a:lnTo>
                <a:lnTo>
                  <a:pt x="7" y="3"/>
                </a:lnTo>
                <a:lnTo>
                  <a:pt x="4" y="0"/>
                </a:lnTo>
                <a:lnTo>
                  <a:pt x="5" y="2"/>
                </a:lnTo>
                <a:lnTo>
                  <a:pt x="4" y="7"/>
                </a:lnTo>
                <a:lnTo>
                  <a:pt x="0" y="12"/>
                </a:lnTo>
                <a:lnTo>
                  <a:pt x="8" y="10"/>
                </a:lnTo>
                <a:lnTo>
                  <a:pt x="8" y="10"/>
                </a:lnTo>
                <a:lnTo>
                  <a:pt x="8" y="10"/>
                </a:lnTo>
                <a:close/>
              </a:path>
            </a:pathLst>
          </a:custGeom>
          <a:solidFill>
            <a:srgbClr val="5970B4"/>
          </a:solidFill>
          <a:ln w="9525">
            <a:solidFill>
              <a:schemeClr val="bg1"/>
            </a:solidFill>
            <a:prstDash val="solid"/>
            <a:round/>
            <a:headEnd/>
            <a:tailEnd/>
          </a:ln>
        </xdr:spPr>
      </xdr:sp>
      <xdr:sp macro="" textlink="index!P6">
        <xdr:nvSpPr>
          <xdr:cNvPr id="440" name="CA">
            <a:extLst>
              <a:ext uri="{FF2B5EF4-FFF2-40B4-BE49-F238E27FC236}">
                <a16:creationId xmlns:a16="http://schemas.microsoft.com/office/drawing/2014/main" id="{00000000-0008-0000-0100-0000B8010000}"/>
              </a:ext>
            </a:extLst>
          </xdr:cNvPr>
          <xdr:cNvSpPr>
            <a:spLocks/>
          </xdr:cNvSpPr>
        </xdr:nvSpPr>
        <xdr:spPr bwMode="auto">
          <a:xfrm>
            <a:off x="1516960" y="2279423"/>
            <a:ext cx="671793" cy="1098176"/>
          </a:xfrm>
          <a:custGeom>
            <a:avLst/>
            <a:gdLst>
              <a:gd name="T0" fmla="*/ 23 w 419"/>
              <a:gd name="T1" fmla="*/ 87 h 933"/>
              <a:gd name="T2" fmla="*/ 16 w 419"/>
              <a:gd name="T3" fmla="*/ 104 h 933"/>
              <a:gd name="T4" fmla="*/ 1 w 419"/>
              <a:gd name="T5" fmla="*/ 128 h 933"/>
              <a:gd name="T6" fmla="*/ 9 w 419"/>
              <a:gd name="T7" fmla="*/ 166 h 933"/>
              <a:gd name="T8" fmla="*/ 16 w 419"/>
              <a:gd name="T9" fmla="*/ 199 h 933"/>
              <a:gd name="T10" fmla="*/ 9 w 419"/>
              <a:gd name="T11" fmla="*/ 227 h 933"/>
              <a:gd name="T12" fmla="*/ 9 w 419"/>
              <a:gd name="T13" fmla="*/ 273 h 933"/>
              <a:gd name="T14" fmla="*/ 24 w 419"/>
              <a:gd name="T15" fmla="*/ 313 h 933"/>
              <a:gd name="T16" fmla="*/ 28 w 419"/>
              <a:gd name="T17" fmla="*/ 327 h 933"/>
              <a:gd name="T18" fmla="*/ 30 w 419"/>
              <a:gd name="T19" fmla="*/ 339 h 933"/>
              <a:gd name="T20" fmla="*/ 29 w 419"/>
              <a:gd name="T21" fmla="*/ 352 h 933"/>
              <a:gd name="T22" fmla="*/ 42 w 419"/>
              <a:gd name="T23" fmla="*/ 373 h 933"/>
              <a:gd name="T24" fmla="*/ 51 w 419"/>
              <a:gd name="T25" fmla="*/ 367 h 933"/>
              <a:gd name="T26" fmla="*/ 61 w 419"/>
              <a:gd name="T27" fmla="*/ 357 h 933"/>
              <a:gd name="T28" fmla="*/ 76 w 419"/>
              <a:gd name="T29" fmla="*/ 364 h 933"/>
              <a:gd name="T30" fmla="*/ 90 w 419"/>
              <a:gd name="T31" fmla="*/ 369 h 933"/>
              <a:gd name="T32" fmla="*/ 95 w 419"/>
              <a:gd name="T33" fmla="*/ 371 h 933"/>
              <a:gd name="T34" fmla="*/ 95 w 419"/>
              <a:gd name="T35" fmla="*/ 371 h 933"/>
              <a:gd name="T36" fmla="*/ 64 w 419"/>
              <a:gd name="T37" fmla="*/ 364 h 933"/>
              <a:gd name="T38" fmla="*/ 57 w 419"/>
              <a:gd name="T39" fmla="*/ 377 h 933"/>
              <a:gd name="T40" fmla="*/ 61 w 419"/>
              <a:gd name="T41" fmla="*/ 401 h 933"/>
              <a:gd name="T42" fmla="*/ 56 w 419"/>
              <a:gd name="T43" fmla="*/ 411 h 933"/>
              <a:gd name="T44" fmla="*/ 52 w 419"/>
              <a:gd name="T45" fmla="*/ 389 h 933"/>
              <a:gd name="T46" fmla="*/ 44 w 419"/>
              <a:gd name="T47" fmla="*/ 387 h 933"/>
              <a:gd name="T48" fmla="*/ 43 w 419"/>
              <a:gd name="T49" fmla="*/ 420 h 933"/>
              <a:gd name="T50" fmla="*/ 42 w 419"/>
              <a:gd name="T51" fmla="*/ 439 h 933"/>
              <a:gd name="T52" fmla="*/ 64 w 419"/>
              <a:gd name="T53" fmla="*/ 473 h 933"/>
              <a:gd name="T54" fmla="*/ 52 w 419"/>
              <a:gd name="T55" fmla="*/ 493 h 933"/>
              <a:gd name="T56" fmla="*/ 60 w 419"/>
              <a:gd name="T57" fmla="*/ 533 h 933"/>
              <a:gd name="T58" fmla="*/ 71 w 419"/>
              <a:gd name="T59" fmla="*/ 572 h 933"/>
              <a:gd name="T60" fmla="*/ 80 w 419"/>
              <a:gd name="T61" fmla="*/ 600 h 933"/>
              <a:gd name="T62" fmla="*/ 84 w 419"/>
              <a:gd name="T63" fmla="*/ 625 h 933"/>
              <a:gd name="T64" fmla="*/ 95 w 419"/>
              <a:gd name="T65" fmla="*/ 644 h 933"/>
              <a:gd name="T66" fmla="*/ 90 w 419"/>
              <a:gd name="T67" fmla="*/ 675 h 933"/>
              <a:gd name="T68" fmla="*/ 92 w 419"/>
              <a:gd name="T69" fmla="*/ 693 h 933"/>
              <a:gd name="T70" fmla="*/ 116 w 419"/>
              <a:gd name="T71" fmla="*/ 704 h 933"/>
              <a:gd name="T72" fmla="*/ 143 w 419"/>
              <a:gd name="T73" fmla="*/ 723 h 933"/>
              <a:gd name="T74" fmla="*/ 161 w 419"/>
              <a:gd name="T75" fmla="*/ 753 h 933"/>
              <a:gd name="T76" fmla="*/ 190 w 419"/>
              <a:gd name="T77" fmla="*/ 776 h 933"/>
              <a:gd name="T78" fmla="*/ 194 w 419"/>
              <a:gd name="T79" fmla="*/ 796 h 933"/>
              <a:gd name="T80" fmla="*/ 208 w 419"/>
              <a:gd name="T81" fmla="*/ 805 h 933"/>
              <a:gd name="T82" fmla="*/ 233 w 419"/>
              <a:gd name="T83" fmla="*/ 849 h 933"/>
              <a:gd name="T84" fmla="*/ 234 w 419"/>
              <a:gd name="T85" fmla="*/ 894 h 933"/>
              <a:gd name="T86" fmla="*/ 238 w 419"/>
              <a:gd name="T87" fmla="*/ 905 h 933"/>
              <a:gd name="T88" fmla="*/ 241 w 419"/>
              <a:gd name="T89" fmla="*/ 914 h 933"/>
              <a:gd name="T90" fmla="*/ 374 w 419"/>
              <a:gd name="T91" fmla="*/ 932 h 933"/>
              <a:gd name="T92" fmla="*/ 384 w 419"/>
              <a:gd name="T93" fmla="*/ 916 h 933"/>
              <a:gd name="T94" fmla="*/ 374 w 419"/>
              <a:gd name="T95" fmla="*/ 900 h 933"/>
              <a:gd name="T96" fmla="*/ 377 w 419"/>
              <a:gd name="T97" fmla="*/ 877 h 933"/>
              <a:gd name="T98" fmla="*/ 393 w 419"/>
              <a:gd name="T99" fmla="*/ 848 h 933"/>
              <a:gd name="T100" fmla="*/ 401 w 419"/>
              <a:gd name="T101" fmla="*/ 818 h 933"/>
              <a:gd name="T102" fmla="*/ 408 w 419"/>
              <a:gd name="T103" fmla="*/ 788 h 933"/>
              <a:gd name="T104" fmla="*/ 405 w 419"/>
              <a:gd name="T105" fmla="*/ 763 h 933"/>
              <a:gd name="T106" fmla="*/ 337 w 419"/>
              <a:gd name="T107" fmla="*/ 615 h 933"/>
              <a:gd name="T108" fmla="*/ 145 w 419"/>
              <a:gd name="T109" fmla="*/ 39 h 933"/>
              <a:gd name="T110" fmla="*/ 33 w 419"/>
              <a:gd name="T111" fmla="*/ 18 h 933"/>
              <a:gd name="T112" fmla="*/ 35 w 419"/>
              <a:gd name="T113" fmla="*/ 42 h 93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</a:cxnLst>
            <a:rect l="0" t="0" r="r" b="b"/>
            <a:pathLst>
              <a:path w="419" h="933">
                <a:moveTo>
                  <a:pt x="34" y="52"/>
                </a:moveTo>
                <a:lnTo>
                  <a:pt x="24" y="76"/>
                </a:lnTo>
                <a:lnTo>
                  <a:pt x="25" y="82"/>
                </a:lnTo>
                <a:lnTo>
                  <a:pt x="23" y="87"/>
                </a:lnTo>
                <a:lnTo>
                  <a:pt x="20" y="92"/>
                </a:lnTo>
                <a:lnTo>
                  <a:pt x="18" y="99"/>
                </a:lnTo>
                <a:lnTo>
                  <a:pt x="20" y="100"/>
                </a:lnTo>
                <a:lnTo>
                  <a:pt x="16" y="104"/>
                </a:lnTo>
                <a:lnTo>
                  <a:pt x="11" y="106"/>
                </a:lnTo>
                <a:lnTo>
                  <a:pt x="9" y="111"/>
                </a:lnTo>
                <a:lnTo>
                  <a:pt x="5" y="118"/>
                </a:lnTo>
                <a:lnTo>
                  <a:pt x="1" y="128"/>
                </a:lnTo>
                <a:lnTo>
                  <a:pt x="1" y="138"/>
                </a:lnTo>
                <a:lnTo>
                  <a:pt x="0" y="143"/>
                </a:lnTo>
                <a:lnTo>
                  <a:pt x="9" y="160"/>
                </a:lnTo>
                <a:lnTo>
                  <a:pt x="9" y="166"/>
                </a:lnTo>
                <a:lnTo>
                  <a:pt x="12" y="171"/>
                </a:lnTo>
                <a:lnTo>
                  <a:pt x="16" y="187"/>
                </a:lnTo>
                <a:lnTo>
                  <a:pt x="15" y="192"/>
                </a:lnTo>
                <a:lnTo>
                  <a:pt x="16" y="199"/>
                </a:lnTo>
                <a:lnTo>
                  <a:pt x="15" y="204"/>
                </a:lnTo>
                <a:lnTo>
                  <a:pt x="15" y="211"/>
                </a:lnTo>
                <a:lnTo>
                  <a:pt x="13" y="216"/>
                </a:lnTo>
                <a:lnTo>
                  <a:pt x="9" y="227"/>
                </a:lnTo>
                <a:lnTo>
                  <a:pt x="10" y="250"/>
                </a:lnTo>
                <a:lnTo>
                  <a:pt x="9" y="258"/>
                </a:lnTo>
                <a:lnTo>
                  <a:pt x="5" y="263"/>
                </a:lnTo>
                <a:lnTo>
                  <a:pt x="9" y="273"/>
                </a:lnTo>
                <a:lnTo>
                  <a:pt x="14" y="285"/>
                </a:lnTo>
                <a:lnTo>
                  <a:pt x="18" y="301"/>
                </a:lnTo>
                <a:lnTo>
                  <a:pt x="21" y="308"/>
                </a:lnTo>
                <a:lnTo>
                  <a:pt x="24" y="313"/>
                </a:lnTo>
                <a:lnTo>
                  <a:pt x="26" y="319"/>
                </a:lnTo>
                <a:lnTo>
                  <a:pt x="27" y="324"/>
                </a:lnTo>
                <a:lnTo>
                  <a:pt x="27" y="329"/>
                </a:lnTo>
                <a:lnTo>
                  <a:pt x="28" y="327"/>
                </a:lnTo>
                <a:lnTo>
                  <a:pt x="28" y="328"/>
                </a:lnTo>
                <a:lnTo>
                  <a:pt x="32" y="339"/>
                </a:lnTo>
                <a:lnTo>
                  <a:pt x="33" y="349"/>
                </a:lnTo>
                <a:lnTo>
                  <a:pt x="30" y="339"/>
                </a:lnTo>
                <a:lnTo>
                  <a:pt x="29" y="344"/>
                </a:lnTo>
                <a:lnTo>
                  <a:pt x="26" y="351"/>
                </a:lnTo>
                <a:lnTo>
                  <a:pt x="25" y="356"/>
                </a:lnTo>
                <a:lnTo>
                  <a:pt x="29" y="352"/>
                </a:lnTo>
                <a:lnTo>
                  <a:pt x="34" y="359"/>
                </a:lnTo>
                <a:lnTo>
                  <a:pt x="35" y="364"/>
                </a:lnTo>
                <a:lnTo>
                  <a:pt x="39" y="368"/>
                </a:lnTo>
                <a:lnTo>
                  <a:pt x="42" y="373"/>
                </a:lnTo>
                <a:lnTo>
                  <a:pt x="47" y="379"/>
                </a:lnTo>
                <a:lnTo>
                  <a:pt x="50" y="376"/>
                </a:lnTo>
                <a:lnTo>
                  <a:pt x="48" y="371"/>
                </a:lnTo>
                <a:lnTo>
                  <a:pt x="51" y="367"/>
                </a:lnTo>
                <a:lnTo>
                  <a:pt x="51" y="360"/>
                </a:lnTo>
                <a:lnTo>
                  <a:pt x="53" y="355"/>
                </a:lnTo>
                <a:lnTo>
                  <a:pt x="57" y="352"/>
                </a:lnTo>
                <a:lnTo>
                  <a:pt x="61" y="357"/>
                </a:lnTo>
                <a:lnTo>
                  <a:pt x="64" y="363"/>
                </a:lnTo>
                <a:lnTo>
                  <a:pt x="68" y="367"/>
                </a:lnTo>
                <a:lnTo>
                  <a:pt x="72" y="364"/>
                </a:lnTo>
                <a:lnTo>
                  <a:pt x="76" y="364"/>
                </a:lnTo>
                <a:lnTo>
                  <a:pt x="79" y="369"/>
                </a:lnTo>
                <a:lnTo>
                  <a:pt x="87" y="371"/>
                </a:lnTo>
                <a:lnTo>
                  <a:pt x="91" y="365"/>
                </a:lnTo>
                <a:lnTo>
                  <a:pt x="90" y="369"/>
                </a:lnTo>
                <a:lnTo>
                  <a:pt x="86" y="373"/>
                </a:lnTo>
                <a:lnTo>
                  <a:pt x="90" y="373"/>
                </a:lnTo>
                <a:lnTo>
                  <a:pt x="94" y="371"/>
                </a:lnTo>
                <a:lnTo>
                  <a:pt x="95" y="371"/>
                </a:lnTo>
                <a:lnTo>
                  <a:pt x="98" y="376"/>
                </a:lnTo>
                <a:lnTo>
                  <a:pt x="101" y="381"/>
                </a:lnTo>
                <a:lnTo>
                  <a:pt x="101" y="383"/>
                </a:lnTo>
                <a:lnTo>
                  <a:pt x="95" y="371"/>
                </a:lnTo>
                <a:lnTo>
                  <a:pt x="86" y="376"/>
                </a:lnTo>
                <a:lnTo>
                  <a:pt x="74" y="368"/>
                </a:lnTo>
                <a:lnTo>
                  <a:pt x="68" y="368"/>
                </a:lnTo>
                <a:lnTo>
                  <a:pt x="64" y="364"/>
                </a:lnTo>
                <a:lnTo>
                  <a:pt x="60" y="365"/>
                </a:lnTo>
                <a:lnTo>
                  <a:pt x="56" y="365"/>
                </a:lnTo>
                <a:lnTo>
                  <a:pt x="54" y="372"/>
                </a:lnTo>
                <a:lnTo>
                  <a:pt x="57" y="377"/>
                </a:lnTo>
                <a:lnTo>
                  <a:pt x="55" y="383"/>
                </a:lnTo>
                <a:lnTo>
                  <a:pt x="57" y="388"/>
                </a:lnTo>
                <a:lnTo>
                  <a:pt x="59" y="391"/>
                </a:lnTo>
                <a:lnTo>
                  <a:pt x="61" y="401"/>
                </a:lnTo>
                <a:lnTo>
                  <a:pt x="61" y="412"/>
                </a:lnTo>
                <a:lnTo>
                  <a:pt x="64" y="417"/>
                </a:lnTo>
                <a:lnTo>
                  <a:pt x="60" y="416"/>
                </a:lnTo>
                <a:lnTo>
                  <a:pt x="56" y="411"/>
                </a:lnTo>
                <a:lnTo>
                  <a:pt x="53" y="404"/>
                </a:lnTo>
                <a:lnTo>
                  <a:pt x="49" y="400"/>
                </a:lnTo>
                <a:lnTo>
                  <a:pt x="50" y="395"/>
                </a:lnTo>
                <a:lnTo>
                  <a:pt x="52" y="389"/>
                </a:lnTo>
                <a:lnTo>
                  <a:pt x="52" y="384"/>
                </a:lnTo>
                <a:lnTo>
                  <a:pt x="51" y="381"/>
                </a:lnTo>
                <a:lnTo>
                  <a:pt x="47" y="381"/>
                </a:lnTo>
                <a:lnTo>
                  <a:pt x="44" y="387"/>
                </a:lnTo>
                <a:lnTo>
                  <a:pt x="43" y="392"/>
                </a:lnTo>
                <a:lnTo>
                  <a:pt x="40" y="403"/>
                </a:lnTo>
                <a:lnTo>
                  <a:pt x="42" y="408"/>
                </a:lnTo>
                <a:lnTo>
                  <a:pt x="43" y="420"/>
                </a:lnTo>
                <a:lnTo>
                  <a:pt x="42" y="425"/>
                </a:lnTo>
                <a:lnTo>
                  <a:pt x="40" y="428"/>
                </a:lnTo>
                <a:lnTo>
                  <a:pt x="40" y="433"/>
                </a:lnTo>
                <a:lnTo>
                  <a:pt x="42" y="439"/>
                </a:lnTo>
                <a:lnTo>
                  <a:pt x="49" y="456"/>
                </a:lnTo>
                <a:lnTo>
                  <a:pt x="54" y="460"/>
                </a:lnTo>
                <a:lnTo>
                  <a:pt x="62" y="461"/>
                </a:lnTo>
                <a:lnTo>
                  <a:pt x="64" y="473"/>
                </a:lnTo>
                <a:lnTo>
                  <a:pt x="64" y="484"/>
                </a:lnTo>
                <a:lnTo>
                  <a:pt x="62" y="484"/>
                </a:lnTo>
                <a:lnTo>
                  <a:pt x="61" y="489"/>
                </a:lnTo>
                <a:lnTo>
                  <a:pt x="52" y="493"/>
                </a:lnTo>
                <a:lnTo>
                  <a:pt x="52" y="505"/>
                </a:lnTo>
                <a:lnTo>
                  <a:pt x="51" y="517"/>
                </a:lnTo>
                <a:lnTo>
                  <a:pt x="53" y="523"/>
                </a:lnTo>
                <a:lnTo>
                  <a:pt x="60" y="533"/>
                </a:lnTo>
                <a:lnTo>
                  <a:pt x="62" y="545"/>
                </a:lnTo>
                <a:lnTo>
                  <a:pt x="65" y="549"/>
                </a:lnTo>
                <a:lnTo>
                  <a:pt x="66" y="561"/>
                </a:lnTo>
                <a:lnTo>
                  <a:pt x="71" y="572"/>
                </a:lnTo>
                <a:lnTo>
                  <a:pt x="71" y="577"/>
                </a:lnTo>
                <a:lnTo>
                  <a:pt x="73" y="583"/>
                </a:lnTo>
                <a:lnTo>
                  <a:pt x="78" y="588"/>
                </a:lnTo>
                <a:lnTo>
                  <a:pt x="80" y="600"/>
                </a:lnTo>
                <a:lnTo>
                  <a:pt x="88" y="611"/>
                </a:lnTo>
                <a:lnTo>
                  <a:pt x="88" y="616"/>
                </a:lnTo>
                <a:lnTo>
                  <a:pt x="85" y="620"/>
                </a:lnTo>
                <a:lnTo>
                  <a:pt x="84" y="625"/>
                </a:lnTo>
                <a:lnTo>
                  <a:pt x="88" y="631"/>
                </a:lnTo>
                <a:lnTo>
                  <a:pt x="92" y="633"/>
                </a:lnTo>
                <a:lnTo>
                  <a:pt x="95" y="639"/>
                </a:lnTo>
                <a:lnTo>
                  <a:pt x="95" y="644"/>
                </a:lnTo>
                <a:lnTo>
                  <a:pt x="91" y="652"/>
                </a:lnTo>
                <a:lnTo>
                  <a:pt x="91" y="664"/>
                </a:lnTo>
                <a:lnTo>
                  <a:pt x="89" y="669"/>
                </a:lnTo>
                <a:lnTo>
                  <a:pt x="90" y="675"/>
                </a:lnTo>
                <a:lnTo>
                  <a:pt x="87" y="680"/>
                </a:lnTo>
                <a:lnTo>
                  <a:pt x="86" y="687"/>
                </a:lnTo>
                <a:lnTo>
                  <a:pt x="89" y="688"/>
                </a:lnTo>
                <a:lnTo>
                  <a:pt x="92" y="693"/>
                </a:lnTo>
                <a:lnTo>
                  <a:pt x="96" y="699"/>
                </a:lnTo>
                <a:lnTo>
                  <a:pt x="108" y="701"/>
                </a:lnTo>
                <a:lnTo>
                  <a:pt x="112" y="704"/>
                </a:lnTo>
                <a:lnTo>
                  <a:pt x="116" y="704"/>
                </a:lnTo>
                <a:lnTo>
                  <a:pt x="124" y="712"/>
                </a:lnTo>
                <a:lnTo>
                  <a:pt x="128" y="715"/>
                </a:lnTo>
                <a:lnTo>
                  <a:pt x="137" y="715"/>
                </a:lnTo>
                <a:lnTo>
                  <a:pt x="143" y="723"/>
                </a:lnTo>
                <a:lnTo>
                  <a:pt x="147" y="727"/>
                </a:lnTo>
                <a:lnTo>
                  <a:pt x="151" y="732"/>
                </a:lnTo>
                <a:lnTo>
                  <a:pt x="152" y="743"/>
                </a:lnTo>
                <a:lnTo>
                  <a:pt x="161" y="753"/>
                </a:lnTo>
                <a:lnTo>
                  <a:pt x="169" y="760"/>
                </a:lnTo>
                <a:lnTo>
                  <a:pt x="186" y="764"/>
                </a:lnTo>
                <a:lnTo>
                  <a:pt x="187" y="765"/>
                </a:lnTo>
                <a:lnTo>
                  <a:pt x="190" y="776"/>
                </a:lnTo>
                <a:lnTo>
                  <a:pt x="190" y="781"/>
                </a:lnTo>
                <a:lnTo>
                  <a:pt x="189" y="787"/>
                </a:lnTo>
                <a:lnTo>
                  <a:pt x="189" y="792"/>
                </a:lnTo>
                <a:lnTo>
                  <a:pt x="194" y="796"/>
                </a:lnTo>
                <a:lnTo>
                  <a:pt x="196" y="792"/>
                </a:lnTo>
                <a:lnTo>
                  <a:pt x="200" y="793"/>
                </a:lnTo>
                <a:lnTo>
                  <a:pt x="204" y="796"/>
                </a:lnTo>
                <a:lnTo>
                  <a:pt x="208" y="805"/>
                </a:lnTo>
                <a:lnTo>
                  <a:pt x="211" y="811"/>
                </a:lnTo>
                <a:lnTo>
                  <a:pt x="216" y="815"/>
                </a:lnTo>
                <a:lnTo>
                  <a:pt x="229" y="838"/>
                </a:lnTo>
                <a:lnTo>
                  <a:pt x="233" y="849"/>
                </a:lnTo>
                <a:lnTo>
                  <a:pt x="236" y="862"/>
                </a:lnTo>
                <a:lnTo>
                  <a:pt x="237" y="873"/>
                </a:lnTo>
                <a:lnTo>
                  <a:pt x="236" y="884"/>
                </a:lnTo>
                <a:lnTo>
                  <a:pt x="234" y="894"/>
                </a:lnTo>
                <a:lnTo>
                  <a:pt x="234" y="901"/>
                </a:lnTo>
                <a:lnTo>
                  <a:pt x="235" y="897"/>
                </a:lnTo>
                <a:lnTo>
                  <a:pt x="240" y="900"/>
                </a:lnTo>
                <a:lnTo>
                  <a:pt x="238" y="905"/>
                </a:lnTo>
                <a:lnTo>
                  <a:pt x="236" y="900"/>
                </a:lnTo>
                <a:lnTo>
                  <a:pt x="238" y="905"/>
                </a:lnTo>
                <a:lnTo>
                  <a:pt x="239" y="913"/>
                </a:lnTo>
                <a:lnTo>
                  <a:pt x="241" y="914"/>
                </a:lnTo>
                <a:lnTo>
                  <a:pt x="369" y="932"/>
                </a:lnTo>
                <a:lnTo>
                  <a:pt x="371" y="932"/>
                </a:lnTo>
                <a:lnTo>
                  <a:pt x="373" y="930"/>
                </a:lnTo>
                <a:lnTo>
                  <a:pt x="374" y="932"/>
                </a:lnTo>
                <a:lnTo>
                  <a:pt x="378" y="933"/>
                </a:lnTo>
                <a:lnTo>
                  <a:pt x="379" y="928"/>
                </a:lnTo>
                <a:lnTo>
                  <a:pt x="384" y="924"/>
                </a:lnTo>
                <a:lnTo>
                  <a:pt x="384" y="916"/>
                </a:lnTo>
                <a:lnTo>
                  <a:pt x="383" y="910"/>
                </a:lnTo>
                <a:lnTo>
                  <a:pt x="379" y="906"/>
                </a:lnTo>
                <a:lnTo>
                  <a:pt x="375" y="905"/>
                </a:lnTo>
                <a:lnTo>
                  <a:pt x="374" y="900"/>
                </a:lnTo>
                <a:lnTo>
                  <a:pt x="376" y="893"/>
                </a:lnTo>
                <a:lnTo>
                  <a:pt x="377" y="888"/>
                </a:lnTo>
                <a:lnTo>
                  <a:pt x="375" y="882"/>
                </a:lnTo>
                <a:lnTo>
                  <a:pt x="377" y="877"/>
                </a:lnTo>
                <a:lnTo>
                  <a:pt x="381" y="873"/>
                </a:lnTo>
                <a:lnTo>
                  <a:pt x="389" y="861"/>
                </a:lnTo>
                <a:lnTo>
                  <a:pt x="390" y="853"/>
                </a:lnTo>
                <a:lnTo>
                  <a:pt x="393" y="848"/>
                </a:lnTo>
                <a:lnTo>
                  <a:pt x="393" y="837"/>
                </a:lnTo>
                <a:lnTo>
                  <a:pt x="395" y="828"/>
                </a:lnTo>
                <a:lnTo>
                  <a:pt x="399" y="824"/>
                </a:lnTo>
                <a:lnTo>
                  <a:pt x="401" y="818"/>
                </a:lnTo>
                <a:lnTo>
                  <a:pt x="415" y="809"/>
                </a:lnTo>
                <a:lnTo>
                  <a:pt x="419" y="804"/>
                </a:lnTo>
                <a:lnTo>
                  <a:pt x="416" y="799"/>
                </a:lnTo>
                <a:lnTo>
                  <a:pt x="408" y="788"/>
                </a:lnTo>
                <a:lnTo>
                  <a:pt x="408" y="781"/>
                </a:lnTo>
                <a:lnTo>
                  <a:pt x="407" y="775"/>
                </a:lnTo>
                <a:lnTo>
                  <a:pt x="406" y="769"/>
                </a:lnTo>
                <a:lnTo>
                  <a:pt x="405" y="763"/>
                </a:lnTo>
                <a:lnTo>
                  <a:pt x="400" y="751"/>
                </a:lnTo>
                <a:lnTo>
                  <a:pt x="400" y="745"/>
                </a:lnTo>
                <a:lnTo>
                  <a:pt x="401" y="740"/>
                </a:lnTo>
                <a:lnTo>
                  <a:pt x="337" y="615"/>
                </a:lnTo>
                <a:lnTo>
                  <a:pt x="186" y="321"/>
                </a:lnTo>
                <a:lnTo>
                  <a:pt x="197" y="264"/>
                </a:lnTo>
                <a:lnTo>
                  <a:pt x="232" y="70"/>
                </a:lnTo>
                <a:lnTo>
                  <a:pt x="145" y="39"/>
                </a:lnTo>
                <a:lnTo>
                  <a:pt x="40" y="2"/>
                </a:lnTo>
                <a:lnTo>
                  <a:pt x="38" y="0"/>
                </a:lnTo>
                <a:lnTo>
                  <a:pt x="35" y="12"/>
                </a:lnTo>
                <a:lnTo>
                  <a:pt x="33" y="18"/>
                </a:lnTo>
                <a:lnTo>
                  <a:pt x="36" y="24"/>
                </a:lnTo>
                <a:lnTo>
                  <a:pt x="35" y="30"/>
                </a:lnTo>
                <a:lnTo>
                  <a:pt x="36" y="40"/>
                </a:lnTo>
                <a:lnTo>
                  <a:pt x="35" y="42"/>
                </a:lnTo>
                <a:lnTo>
                  <a:pt x="34" y="52"/>
                </a:lnTo>
                <a:lnTo>
                  <a:pt x="34" y="52"/>
                </a:lnTo>
                <a:lnTo>
                  <a:pt x="34" y="52"/>
                </a:lnTo>
                <a:close/>
              </a:path>
            </a:pathLst>
          </a:custGeom>
          <a:solidFill>
            <a:srgbClr val="E75936">
              <a:alpha val="36211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45EF1DA3-4846-4A66-AB35-7003715257BC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52">
        <xdr:nvSpPr>
          <xdr:cNvPr id="474" name="WI">
            <a:extLst>
              <a:ext uri="{FF2B5EF4-FFF2-40B4-BE49-F238E27FC236}">
                <a16:creationId xmlns:a16="http://schemas.microsoft.com/office/drawing/2014/main" id="{00000000-0008-0000-0100-0000DA010000}"/>
              </a:ext>
            </a:extLst>
          </xdr:cNvPr>
          <xdr:cNvSpPr>
            <a:spLocks/>
          </xdr:cNvSpPr>
        </xdr:nvSpPr>
        <xdr:spPr bwMode="auto">
          <a:xfrm>
            <a:off x="3957308" y="2041858"/>
            <a:ext cx="414618" cy="451597"/>
          </a:xfrm>
          <a:custGeom>
            <a:avLst/>
            <a:gdLst>
              <a:gd name="T0" fmla="*/ 30 w 257"/>
              <a:gd name="T1" fmla="*/ 24 h 383"/>
              <a:gd name="T2" fmla="*/ 26 w 257"/>
              <a:gd name="T3" fmla="*/ 75 h 383"/>
              <a:gd name="T4" fmla="*/ 15 w 257"/>
              <a:gd name="T5" fmla="*/ 91 h 383"/>
              <a:gd name="T6" fmla="*/ 3 w 257"/>
              <a:gd name="T7" fmla="*/ 111 h 383"/>
              <a:gd name="T8" fmla="*/ 3 w 257"/>
              <a:gd name="T9" fmla="*/ 127 h 383"/>
              <a:gd name="T10" fmla="*/ 7 w 257"/>
              <a:gd name="T11" fmla="*/ 153 h 383"/>
              <a:gd name="T12" fmla="*/ 9 w 257"/>
              <a:gd name="T13" fmla="*/ 181 h 383"/>
              <a:gd name="T14" fmla="*/ 13 w 257"/>
              <a:gd name="T15" fmla="*/ 203 h 383"/>
              <a:gd name="T16" fmla="*/ 29 w 257"/>
              <a:gd name="T17" fmla="*/ 212 h 383"/>
              <a:gd name="T18" fmla="*/ 41 w 257"/>
              <a:gd name="T19" fmla="*/ 224 h 383"/>
              <a:gd name="T20" fmla="*/ 60 w 257"/>
              <a:gd name="T21" fmla="*/ 251 h 383"/>
              <a:gd name="T22" fmla="*/ 73 w 257"/>
              <a:gd name="T23" fmla="*/ 259 h 383"/>
              <a:gd name="T24" fmla="*/ 82 w 257"/>
              <a:gd name="T25" fmla="*/ 285 h 383"/>
              <a:gd name="T26" fmla="*/ 84 w 257"/>
              <a:gd name="T27" fmla="*/ 300 h 383"/>
              <a:gd name="T28" fmla="*/ 87 w 257"/>
              <a:gd name="T29" fmla="*/ 312 h 383"/>
              <a:gd name="T30" fmla="*/ 88 w 257"/>
              <a:gd name="T31" fmla="*/ 329 h 383"/>
              <a:gd name="T32" fmla="*/ 93 w 257"/>
              <a:gd name="T33" fmla="*/ 353 h 383"/>
              <a:gd name="T34" fmla="*/ 100 w 257"/>
              <a:gd name="T35" fmla="*/ 368 h 383"/>
              <a:gd name="T36" fmla="*/ 191 w 257"/>
              <a:gd name="T37" fmla="*/ 376 h 383"/>
              <a:gd name="T38" fmla="*/ 249 w 257"/>
              <a:gd name="T39" fmla="*/ 359 h 383"/>
              <a:gd name="T40" fmla="*/ 249 w 257"/>
              <a:gd name="T41" fmla="*/ 341 h 383"/>
              <a:gd name="T42" fmla="*/ 242 w 257"/>
              <a:gd name="T43" fmla="*/ 325 h 383"/>
              <a:gd name="T44" fmla="*/ 241 w 257"/>
              <a:gd name="T45" fmla="*/ 297 h 383"/>
              <a:gd name="T46" fmla="*/ 245 w 257"/>
              <a:gd name="T47" fmla="*/ 275 h 383"/>
              <a:gd name="T48" fmla="*/ 245 w 257"/>
              <a:gd name="T49" fmla="*/ 251 h 383"/>
              <a:gd name="T50" fmla="*/ 249 w 257"/>
              <a:gd name="T51" fmla="*/ 228 h 383"/>
              <a:gd name="T52" fmla="*/ 250 w 257"/>
              <a:gd name="T53" fmla="*/ 211 h 383"/>
              <a:gd name="T54" fmla="*/ 257 w 257"/>
              <a:gd name="T55" fmla="*/ 177 h 383"/>
              <a:gd name="T56" fmla="*/ 252 w 257"/>
              <a:gd name="T57" fmla="*/ 161 h 383"/>
              <a:gd name="T58" fmla="*/ 241 w 257"/>
              <a:gd name="T59" fmla="*/ 173 h 383"/>
              <a:gd name="T60" fmla="*/ 233 w 257"/>
              <a:gd name="T61" fmla="*/ 188 h 383"/>
              <a:gd name="T62" fmla="*/ 227 w 257"/>
              <a:gd name="T63" fmla="*/ 188 h 383"/>
              <a:gd name="T64" fmla="*/ 233 w 257"/>
              <a:gd name="T65" fmla="*/ 164 h 383"/>
              <a:gd name="T66" fmla="*/ 242 w 257"/>
              <a:gd name="T67" fmla="*/ 153 h 383"/>
              <a:gd name="T68" fmla="*/ 241 w 257"/>
              <a:gd name="T69" fmla="*/ 143 h 383"/>
              <a:gd name="T70" fmla="*/ 237 w 257"/>
              <a:gd name="T71" fmla="*/ 133 h 383"/>
              <a:gd name="T72" fmla="*/ 231 w 257"/>
              <a:gd name="T73" fmla="*/ 124 h 383"/>
              <a:gd name="T74" fmla="*/ 231 w 257"/>
              <a:gd name="T75" fmla="*/ 103 h 383"/>
              <a:gd name="T76" fmla="*/ 226 w 257"/>
              <a:gd name="T77" fmla="*/ 91 h 383"/>
              <a:gd name="T78" fmla="*/ 215 w 257"/>
              <a:gd name="T79" fmla="*/ 77 h 383"/>
              <a:gd name="T80" fmla="*/ 196 w 257"/>
              <a:gd name="T81" fmla="*/ 69 h 383"/>
              <a:gd name="T82" fmla="*/ 182 w 257"/>
              <a:gd name="T83" fmla="*/ 71 h 383"/>
              <a:gd name="T84" fmla="*/ 119 w 257"/>
              <a:gd name="T85" fmla="*/ 40 h 383"/>
              <a:gd name="T86" fmla="*/ 109 w 257"/>
              <a:gd name="T87" fmla="*/ 31 h 383"/>
              <a:gd name="T88" fmla="*/ 93 w 257"/>
              <a:gd name="T89" fmla="*/ 27 h 383"/>
              <a:gd name="T90" fmla="*/ 86 w 257"/>
              <a:gd name="T91" fmla="*/ 25 h 383"/>
              <a:gd name="T92" fmla="*/ 90 w 257"/>
              <a:gd name="T93" fmla="*/ 9 h 383"/>
              <a:gd name="T94" fmla="*/ 82 w 257"/>
              <a:gd name="T95" fmla="*/ 3 h 383"/>
              <a:gd name="T96" fmla="*/ 69 w 257"/>
              <a:gd name="T97" fmla="*/ 12 h 383"/>
              <a:gd name="T98" fmla="*/ 40 w 257"/>
              <a:gd name="T99" fmla="*/ 28 h 383"/>
              <a:gd name="T100" fmla="*/ 32 w 257"/>
              <a:gd name="T101" fmla="*/ 21 h 38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</a:cxnLst>
            <a:rect l="0" t="0" r="r" b="b"/>
            <a:pathLst>
              <a:path w="257" h="383">
                <a:moveTo>
                  <a:pt x="32" y="21"/>
                </a:moveTo>
                <a:lnTo>
                  <a:pt x="31" y="24"/>
                </a:lnTo>
                <a:lnTo>
                  <a:pt x="30" y="24"/>
                </a:lnTo>
                <a:lnTo>
                  <a:pt x="28" y="31"/>
                </a:lnTo>
                <a:lnTo>
                  <a:pt x="25" y="31"/>
                </a:lnTo>
                <a:lnTo>
                  <a:pt x="26" y="75"/>
                </a:lnTo>
                <a:lnTo>
                  <a:pt x="25" y="81"/>
                </a:lnTo>
                <a:lnTo>
                  <a:pt x="23" y="85"/>
                </a:lnTo>
                <a:lnTo>
                  <a:pt x="15" y="91"/>
                </a:lnTo>
                <a:lnTo>
                  <a:pt x="7" y="99"/>
                </a:lnTo>
                <a:lnTo>
                  <a:pt x="6" y="104"/>
                </a:lnTo>
                <a:lnTo>
                  <a:pt x="3" y="111"/>
                </a:lnTo>
                <a:lnTo>
                  <a:pt x="0" y="115"/>
                </a:lnTo>
                <a:lnTo>
                  <a:pt x="0" y="121"/>
                </a:lnTo>
                <a:lnTo>
                  <a:pt x="3" y="127"/>
                </a:lnTo>
                <a:lnTo>
                  <a:pt x="7" y="128"/>
                </a:lnTo>
                <a:lnTo>
                  <a:pt x="12" y="139"/>
                </a:lnTo>
                <a:lnTo>
                  <a:pt x="7" y="153"/>
                </a:lnTo>
                <a:lnTo>
                  <a:pt x="8" y="164"/>
                </a:lnTo>
                <a:lnTo>
                  <a:pt x="6" y="169"/>
                </a:lnTo>
                <a:lnTo>
                  <a:pt x="9" y="181"/>
                </a:lnTo>
                <a:lnTo>
                  <a:pt x="8" y="191"/>
                </a:lnTo>
                <a:lnTo>
                  <a:pt x="6" y="196"/>
                </a:lnTo>
                <a:lnTo>
                  <a:pt x="13" y="203"/>
                </a:lnTo>
                <a:lnTo>
                  <a:pt x="17" y="208"/>
                </a:lnTo>
                <a:lnTo>
                  <a:pt x="21" y="211"/>
                </a:lnTo>
                <a:lnTo>
                  <a:pt x="29" y="212"/>
                </a:lnTo>
                <a:lnTo>
                  <a:pt x="31" y="219"/>
                </a:lnTo>
                <a:lnTo>
                  <a:pt x="35" y="221"/>
                </a:lnTo>
                <a:lnTo>
                  <a:pt x="41" y="224"/>
                </a:lnTo>
                <a:lnTo>
                  <a:pt x="47" y="229"/>
                </a:lnTo>
                <a:lnTo>
                  <a:pt x="52" y="241"/>
                </a:lnTo>
                <a:lnTo>
                  <a:pt x="60" y="251"/>
                </a:lnTo>
                <a:lnTo>
                  <a:pt x="65" y="253"/>
                </a:lnTo>
                <a:lnTo>
                  <a:pt x="69" y="255"/>
                </a:lnTo>
                <a:lnTo>
                  <a:pt x="73" y="259"/>
                </a:lnTo>
                <a:lnTo>
                  <a:pt x="77" y="264"/>
                </a:lnTo>
                <a:lnTo>
                  <a:pt x="80" y="271"/>
                </a:lnTo>
                <a:lnTo>
                  <a:pt x="82" y="285"/>
                </a:lnTo>
                <a:lnTo>
                  <a:pt x="83" y="292"/>
                </a:lnTo>
                <a:lnTo>
                  <a:pt x="83" y="293"/>
                </a:lnTo>
                <a:lnTo>
                  <a:pt x="84" y="300"/>
                </a:lnTo>
                <a:lnTo>
                  <a:pt x="84" y="304"/>
                </a:lnTo>
                <a:lnTo>
                  <a:pt x="85" y="305"/>
                </a:lnTo>
                <a:lnTo>
                  <a:pt x="87" y="312"/>
                </a:lnTo>
                <a:lnTo>
                  <a:pt x="90" y="313"/>
                </a:lnTo>
                <a:lnTo>
                  <a:pt x="92" y="319"/>
                </a:lnTo>
                <a:lnTo>
                  <a:pt x="88" y="329"/>
                </a:lnTo>
                <a:lnTo>
                  <a:pt x="90" y="339"/>
                </a:lnTo>
                <a:lnTo>
                  <a:pt x="90" y="348"/>
                </a:lnTo>
                <a:lnTo>
                  <a:pt x="93" y="353"/>
                </a:lnTo>
                <a:lnTo>
                  <a:pt x="94" y="360"/>
                </a:lnTo>
                <a:lnTo>
                  <a:pt x="96" y="365"/>
                </a:lnTo>
                <a:lnTo>
                  <a:pt x="100" y="368"/>
                </a:lnTo>
                <a:lnTo>
                  <a:pt x="113" y="372"/>
                </a:lnTo>
                <a:lnTo>
                  <a:pt x="116" y="383"/>
                </a:lnTo>
                <a:lnTo>
                  <a:pt x="191" y="376"/>
                </a:lnTo>
                <a:lnTo>
                  <a:pt x="248" y="369"/>
                </a:lnTo>
                <a:lnTo>
                  <a:pt x="250" y="369"/>
                </a:lnTo>
                <a:lnTo>
                  <a:pt x="249" y="359"/>
                </a:lnTo>
                <a:lnTo>
                  <a:pt x="250" y="353"/>
                </a:lnTo>
                <a:lnTo>
                  <a:pt x="250" y="347"/>
                </a:lnTo>
                <a:lnTo>
                  <a:pt x="249" y="341"/>
                </a:lnTo>
                <a:lnTo>
                  <a:pt x="246" y="336"/>
                </a:lnTo>
                <a:lnTo>
                  <a:pt x="246" y="331"/>
                </a:lnTo>
                <a:lnTo>
                  <a:pt x="242" y="325"/>
                </a:lnTo>
                <a:lnTo>
                  <a:pt x="243" y="320"/>
                </a:lnTo>
                <a:lnTo>
                  <a:pt x="241" y="308"/>
                </a:lnTo>
                <a:lnTo>
                  <a:pt x="241" y="297"/>
                </a:lnTo>
                <a:lnTo>
                  <a:pt x="244" y="285"/>
                </a:lnTo>
                <a:lnTo>
                  <a:pt x="244" y="280"/>
                </a:lnTo>
                <a:lnTo>
                  <a:pt x="245" y="275"/>
                </a:lnTo>
                <a:lnTo>
                  <a:pt x="247" y="268"/>
                </a:lnTo>
                <a:lnTo>
                  <a:pt x="247" y="263"/>
                </a:lnTo>
                <a:lnTo>
                  <a:pt x="245" y="251"/>
                </a:lnTo>
                <a:lnTo>
                  <a:pt x="245" y="245"/>
                </a:lnTo>
                <a:lnTo>
                  <a:pt x="247" y="235"/>
                </a:lnTo>
                <a:lnTo>
                  <a:pt x="249" y="228"/>
                </a:lnTo>
                <a:lnTo>
                  <a:pt x="253" y="224"/>
                </a:lnTo>
                <a:lnTo>
                  <a:pt x="253" y="221"/>
                </a:lnTo>
                <a:lnTo>
                  <a:pt x="250" y="211"/>
                </a:lnTo>
                <a:lnTo>
                  <a:pt x="251" y="204"/>
                </a:lnTo>
                <a:lnTo>
                  <a:pt x="252" y="193"/>
                </a:lnTo>
                <a:lnTo>
                  <a:pt x="257" y="177"/>
                </a:lnTo>
                <a:lnTo>
                  <a:pt x="257" y="172"/>
                </a:lnTo>
                <a:lnTo>
                  <a:pt x="255" y="167"/>
                </a:lnTo>
                <a:lnTo>
                  <a:pt x="252" y="161"/>
                </a:lnTo>
                <a:lnTo>
                  <a:pt x="247" y="165"/>
                </a:lnTo>
                <a:lnTo>
                  <a:pt x="243" y="168"/>
                </a:lnTo>
                <a:lnTo>
                  <a:pt x="241" y="173"/>
                </a:lnTo>
                <a:lnTo>
                  <a:pt x="240" y="179"/>
                </a:lnTo>
                <a:lnTo>
                  <a:pt x="237" y="184"/>
                </a:lnTo>
                <a:lnTo>
                  <a:pt x="233" y="188"/>
                </a:lnTo>
                <a:lnTo>
                  <a:pt x="231" y="193"/>
                </a:lnTo>
                <a:lnTo>
                  <a:pt x="227" y="193"/>
                </a:lnTo>
                <a:lnTo>
                  <a:pt x="227" y="188"/>
                </a:lnTo>
                <a:lnTo>
                  <a:pt x="228" y="181"/>
                </a:lnTo>
                <a:lnTo>
                  <a:pt x="231" y="169"/>
                </a:lnTo>
                <a:lnTo>
                  <a:pt x="233" y="164"/>
                </a:lnTo>
                <a:lnTo>
                  <a:pt x="234" y="159"/>
                </a:lnTo>
                <a:lnTo>
                  <a:pt x="238" y="156"/>
                </a:lnTo>
                <a:lnTo>
                  <a:pt x="242" y="153"/>
                </a:lnTo>
                <a:lnTo>
                  <a:pt x="242" y="149"/>
                </a:lnTo>
                <a:lnTo>
                  <a:pt x="243" y="144"/>
                </a:lnTo>
                <a:lnTo>
                  <a:pt x="241" y="143"/>
                </a:lnTo>
                <a:lnTo>
                  <a:pt x="241" y="143"/>
                </a:lnTo>
                <a:lnTo>
                  <a:pt x="237" y="139"/>
                </a:lnTo>
                <a:lnTo>
                  <a:pt x="237" y="133"/>
                </a:lnTo>
                <a:lnTo>
                  <a:pt x="239" y="121"/>
                </a:lnTo>
                <a:lnTo>
                  <a:pt x="235" y="123"/>
                </a:lnTo>
                <a:lnTo>
                  <a:pt x="231" y="124"/>
                </a:lnTo>
                <a:lnTo>
                  <a:pt x="229" y="119"/>
                </a:lnTo>
                <a:lnTo>
                  <a:pt x="231" y="113"/>
                </a:lnTo>
                <a:lnTo>
                  <a:pt x="231" y="103"/>
                </a:lnTo>
                <a:lnTo>
                  <a:pt x="229" y="97"/>
                </a:lnTo>
                <a:lnTo>
                  <a:pt x="231" y="96"/>
                </a:lnTo>
                <a:lnTo>
                  <a:pt x="226" y="91"/>
                </a:lnTo>
                <a:lnTo>
                  <a:pt x="220" y="88"/>
                </a:lnTo>
                <a:lnTo>
                  <a:pt x="216" y="87"/>
                </a:lnTo>
                <a:lnTo>
                  <a:pt x="215" y="77"/>
                </a:lnTo>
                <a:lnTo>
                  <a:pt x="211" y="73"/>
                </a:lnTo>
                <a:lnTo>
                  <a:pt x="200" y="72"/>
                </a:lnTo>
                <a:lnTo>
                  <a:pt x="196" y="69"/>
                </a:lnTo>
                <a:lnTo>
                  <a:pt x="192" y="72"/>
                </a:lnTo>
                <a:lnTo>
                  <a:pt x="184" y="69"/>
                </a:lnTo>
                <a:lnTo>
                  <a:pt x="182" y="71"/>
                </a:lnTo>
                <a:lnTo>
                  <a:pt x="168" y="63"/>
                </a:lnTo>
                <a:lnTo>
                  <a:pt x="124" y="51"/>
                </a:lnTo>
                <a:lnTo>
                  <a:pt x="119" y="40"/>
                </a:lnTo>
                <a:lnTo>
                  <a:pt x="115" y="36"/>
                </a:lnTo>
                <a:lnTo>
                  <a:pt x="111" y="33"/>
                </a:lnTo>
                <a:lnTo>
                  <a:pt x="109" y="31"/>
                </a:lnTo>
                <a:lnTo>
                  <a:pt x="101" y="31"/>
                </a:lnTo>
                <a:lnTo>
                  <a:pt x="97" y="28"/>
                </a:lnTo>
                <a:lnTo>
                  <a:pt x="93" y="27"/>
                </a:lnTo>
                <a:lnTo>
                  <a:pt x="89" y="29"/>
                </a:lnTo>
                <a:lnTo>
                  <a:pt x="85" y="29"/>
                </a:lnTo>
                <a:lnTo>
                  <a:pt x="86" y="25"/>
                </a:lnTo>
                <a:lnTo>
                  <a:pt x="88" y="20"/>
                </a:lnTo>
                <a:lnTo>
                  <a:pt x="88" y="15"/>
                </a:lnTo>
                <a:lnTo>
                  <a:pt x="90" y="9"/>
                </a:lnTo>
                <a:lnTo>
                  <a:pt x="91" y="4"/>
                </a:lnTo>
                <a:lnTo>
                  <a:pt x="87" y="0"/>
                </a:lnTo>
                <a:lnTo>
                  <a:pt x="82" y="3"/>
                </a:lnTo>
                <a:lnTo>
                  <a:pt x="78" y="7"/>
                </a:lnTo>
                <a:lnTo>
                  <a:pt x="73" y="11"/>
                </a:lnTo>
                <a:lnTo>
                  <a:pt x="69" y="12"/>
                </a:lnTo>
                <a:lnTo>
                  <a:pt x="61" y="19"/>
                </a:lnTo>
                <a:lnTo>
                  <a:pt x="44" y="27"/>
                </a:lnTo>
                <a:lnTo>
                  <a:pt x="40" y="28"/>
                </a:lnTo>
                <a:lnTo>
                  <a:pt x="36" y="27"/>
                </a:lnTo>
                <a:lnTo>
                  <a:pt x="32" y="21"/>
                </a:lnTo>
                <a:lnTo>
                  <a:pt x="32" y="21"/>
                </a:lnTo>
                <a:lnTo>
                  <a:pt x="32" y="21"/>
                </a:lnTo>
                <a:close/>
              </a:path>
            </a:pathLst>
          </a:custGeom>
          <a:solidFill>
            <a:srgbClr val="E75936">
              <a:alpha val="47514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93A088B5-66FE-4831-88E6-A0D107165961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32">
        <xdr:nvSpPr>
          <xdr:cNvPr id="500" name="NJ">
            <a:extLst>
              <a:ext uri="{FF2B5EF4-FFF2-40B4-BE49-F238E27FC236}">
                <a16:creationId xmlns:a16="http://schemas.microsoft.com/office/drawing/2014/main" id="{00000000-0008-0000-0100-0000F4010000}"/>
              </a:ext>
            </a:extLst>
          </xdr:cNvPr>
          <xdr:cNvSpPr>
            <a:spLocks/>
          </xdr:cNvSpPr>
        </xdr:nvSpPr>
        <xdr:spPr bwMode="auto">
          <a:xfrm>
            <a:off x="5368397" y="2436305"/>
            <a:ext cx="100292" cy="242607"/>
          </a:xfrm>
          <a:custGeom>
            <a:avLst/>
            <a:gdLst>
              <a:gd name="T0" fmla="*/ 0 w 68"/>
              <a:gd name="T1" fmla="*/ 161 h 207"/>
              <a:gd name="T2" fmla="*/ 3 w 68"/>
              <a:gd name="T3" fmla="*/ 166 h 207"/>
              <a:gd name="T4" fmla="*/ 10 w 68"/>
              <a:gd name="T5" fmla="*/ 178 h 207"/>
              <a:gd name="T6" fmla="*/ 19 w 68"/>
              <a:gd name="T7" fmla="*/ 182 h 207"/>
              <a:gd name="T8" fmla="*/ 30 w 68"/>
              <a:gd name="T9" fmla="*/ 187 h 207"/>
              <a:gd name="T10" fmla="*/ 40 w 68"/>
              <a:gd name="T11" fmla="*/ 193 h 207"/>
              <a:gd name="T12" fmla="*/ 39 w 68"/>
              <a:gd name="T13" fmla="*/ 207 h 207"/>
              <a:gd name="T14" fmla="*/ 45 w 68"/>
              <a:gd name="T15" fmla="*/ 202 h 207"/>
              <a:gd name="T16" fmla="*/ 49 w 68"/>
              <a:gd name="T17" fmla="*/ 191 h 207"/>
              <a:gd name="T18" fmla="*/ 52 w 68"/>
              <a:gd name="T19" fmla="*/ 175 h 207"/>
              <a:gd name="T20" fmla="*/ 50 w 68"/>
              <a:gd name="T21" fmla="*/ 171 h 207"/>
              <a:gd name="T22" fmla="*/ 58 w 68"/>
              <a:gd name="T23" fmla="*/ 166 h 207"/>
              <a:gd name="T24" fmla="*/ 58 w 68"/>
              <a:gd name="T25" fmla="*/ 155 h 207"/>
              <a:gd name="T26" fmla="*/ 61 w 68"/>
              <a:gd name="T27" fmla="*/ 147 h 207"/>
              <a:gd name="T28" fmla="*/ 64 w 68"/>
              <a:gd name="T29" fmla="*/ 135 h 207"/>
              <a:gd name="T30" fmla="*/ 64 w 68"/>
              <a:gd name="T31" fmla="*/ 125 h 207"/>
              <a:gd name="T32" fmla="*/ 64 w 68"/>
              <a:gd name="T33" fmla="*/ 112 h 207"/>
              <a:gd name="T34" fmla="*/ 64 w 68"/>
              <a:gd name="T35" fmla="*/ 105 h 207"/>
              <a:gd name="T36" fmla="*/ 67 w 68"/>
              <a:gd name="T37" fmla="*/ 105 h 207"/>
              <a:gd name="T38" fmla="*/ 68 w 68"/>
              <a:gd name="T39" fmla="*/ 121 h 207"/>
              <a:gd name="T40" fmla="*/ 67 w 68"/>
              <a:gd name="T41" fmla="*/ 98 h 207"/>
              <a:gd name="T42" fmla="*/ 66 w 68"/>
              <a:gd name="T43" fmla="*/ 77 h 207"/>
              <a:gd name="T44" fmla="*/ 56 w 68"/>
              <a:gd name="T45" fmla="*/ 68 h 207"/>
              <a:gd name="T46" fmla="*/ 49 w 68"/>
              <a:gd name="T47" fmla="*/ 69 h 207"/>
              <a:gd name="T48" fmla="*/ 49 w 68"/>
              <a:gd name="T49" fmla="*/ 53 h 207"/>
              <a:gd name="T50" fmla="*/ 53 w 68"/>
              <a:gd name="T51" fmla="*/ 48 h 207"/>
              <a:gd name="T52" fmla="*/ 56 w 68"/>
              <a:gd name="T53" fmla="*/ 38 h 207"/>
              <a:gd name="T54" fmla="*/ 58 w 68"/>
              <a:gd name="T55" fmla="*/ 25 h 207"/>
              <a:gd name="T56" fmla="*/ 15 w 68"/>
              <a:gd name="T57" fmla="*/ 0 h 207"/>
              <a:gd name="T58" fmla="*/ 9 w 68"/>
              <a:gd name="T59" fmla="*/ 12 h 207"/>
              <a:gd name="T60" fmla="*/ 4 w 68"/>
              <a:gd name="T61" fmla="*/ 32 h 207"/>
              <a:gd name="T62" fmla="*/ 2 w 68"/>
              <a:gd name="T63" fmla="*/ 41 h 207"/>
              <a:gd name="T64" fmla="*/ 5 w 68"/>
              <a:gd name="T65" fmla="*/ 48 h 207"/>
              <a:gd name="T66" fmla="*/ 1 w 68"/>
              <a:gd name="T67" fmla="*/ 58 h 207"/>
              <a:gd name="T68" fmla="*/ 6 w 68"/>
              <a:gd name="T69" fmla="*/ 73 h 207"/>
              <a:gd name="T70" fmla="*/ 11 w 68"/>
              <a:gd name="T71" fmla="*/ 81 h 207"/>
              <a:gd name="T72" fmla="*/ 17 w 68"/>
              <a:gd name="T73" fmla="*/ 85 h 207"/>
              <a:gd name="T74" fmla="*/ 31 w 68"/>
              <a:gd name="T75" fmla="*/ 101 h 207"/>
              <a:gd name="T76" fmla="*/ 24 w 68"/>
              <a:gd name="T77" fmla="*/ 112 h 207"/>
              <a:gd name="T78" fmla="*/ 19 w 68"/>
              <a:gd name="T79" fmla="*/ 118 h 207"/>
              <a:gd name="T80" fmla="*/ 19 w 68"/>
              <a:gd name="T81" fmla="*/ 120 h 207"/>
              <a:gd name="T82" fmla="*/ 17 w 68"/>
              <a:gd name="T83" fmla="*/ 129 h 207"/>
              <a:gd name="T84" fmla="*/ 13 w 68"/>
              <a:gd name="T85" fmla="*/ 134 h 207"/>
              <a:gd name="T86" fmla="*/ 9 w 68"/>
              <a:gd name="T87" fmla="*/ 137 h 207"/>
              <a:gd name="T88" fmla="*/ 3 w 68"/>
              <a:gd name="T89" fmla="*/ 147 h 207"/>
              <a:gd name="T90" fmla="*/ 1 w 68"/>
              <a:gd name="T91" fmla="*/ 158 h 207"/>
              <a:gd name="T92" fmla="*/ 1 w 68"/>
              <a:gd name="T93" fmla="*/ 158 h 20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68" h="207">
                <a:moveTo>
                  <a:pt x="1" y="158"/>
                </a:moveTo>
                <a:lnTo>
                  <a:pt x="0" y="161"/>
                </a:lnTo>
                <a:lnTo>
                  <a:pt x="3" y="166"/>
                </a:lnTo>
                <a:lnTo>
                  <a:pt x="3" y="166"/>
                </a:lnTo>
                <a:lnTo>
                  <a:pt x="2" y="169"/>
                </a:lnTo>
                <a:lnTo>
                  <a:pt x="10" y="178"/>
                </a:lnTo>
                <a:lnTo>
                  <a:pt x="15" y="179"/>
                </a:lnTo>
                <a:lnTo>
                  <a:pt x="19" y="182"/>
                </a:lnTo>
                <a:lnTo>
                  <a:pt x="26" y="190"/>
                </a:lnTo>
                <a:lnTo>
                  <a:pt x="30" y="187"/>
                </a:lnTo>
                <a:lnTo>
                  <a:pt x="38" y="187"/>
                </a:lnTo>
                <a:lnTo>
                  <a:pt x="40" y="193"/>
                </a:lnTo>
                <a:lnTo>
                  <a:pt x="38" y="202"/>
                </a:lnTo>
                <a:lnTo>
                  <a:pt x="39" y="207"/>
                </a:lnTo>
                <a:lnTo>
                  <a:pt x="43" y="207"/>
                </a:lnTo>
                <a:lnTo>
                  <a:pt x="45" y="202"/>
                </a:lnTo>
                <a:lnTo>
                  <a:pt x="46" y="198"/>
                </a:lnTo>
                <a:lnTo>
                  <a:pt x="49" y="191"/>
                </a:lnTo>
                <a:lnTo>
                  <a:pt x="50" y="181"/>
                </a:lnTo>
                <a:lnTo>
                  <a:pt x="52" y="175"/>
                </a:lnTo>
                <a:lnTo>
                  <a:pt x="50" y="174"/>
                </a:lnTo>
                <a:lnTo>
                  <a:pt x="50" y="171"/>
                </a:lnTo>
                <a:lnTo>
                  <a:pt x="54" y="166"/>
                </a:lnTo>
                <a:lnTo>
                  <a:pt x="58" y="166"/>
                </a:lnTo>
                <a:lnTo>
                  <a:pt x="56" y="161"/>
                </a:lnTo>
                <a:lnTo>
                  <a:pt x="58" y="155"/>
                </a:lnTo>
                <a:lnTo>
                  <a:pt x="57" y="150"/>
                </a:lnTo>
                <a:lnTo>
                  <a:pt x="61" y="147"/>
                </a:lnTo>
                <a:lnTo>
                  <a:pt x="62" y="142"/>
                </a:lnTo>
                <a:lnTo>
                  <a:pt x="64" y="135"/>
                </a:lnTo>
                <a:lnTo>
                  <a:pt x="66" y="130"/>
                </a:lnTo>
                <a:lnTo>
                  <a:pt x="64" y="125"/>
                </a:lnTo>
                <a:lnTo>
                  <a:pt x="65" y="120"/>
                </a:lnTo>
                <a:lnTo>
                  <a:pt x="64" y="112"/>
                </a:lnTo>
                <a:lnTo>
                  <a:pt x="63" y="106"/>
                </a:lnTo>
                <a:lnTo>
                  <a:pt x="64" y="105"/>
                </a:lnTo>
                <a:lnTo>
                  <a:pt x="65" y="100"/>
                </a:lnTo>
                <a:lnTo>
                  <a:pt x="67" y="105"/>
                </a:lnTo>
                <a:lnTo>
                  <a:pt x="66" y="110"/>
                </a:lnTo>
                <a:lnTo>
                  <a:pt x="68" y="121"/>
                </a:lnTo>
                <a:lnTo>
                  <a:pt x="68" y="116"/>
                </a:lnTo>
                <a:lnTo>
                  <a:pt x="67" y="98"/>
                </a:lnTo>
                <a:lnTo>
                  <a:pt x="66" y="93"/>
                </a:lnTo>
                <a:lnTo>
                  <a:pt x="66" y="77"/>
                </a:lnTo>
                <a:lnTo>
                  <a:pt x="65" y="69"/>
                </a:lnTo>
                <a:lnTo>
                  <a:pt x="56" y="68"/>
                </a:lnTo>
                <a:lnTo>
                  <a:pt x="52" y="69"/>
                </a:lnTo>
                <a:lnTo>
                  <a:pt x="49" y="69"/>
                </a:lnTo>
                <a:lnTo>
                  <a:pt x="49" y="64"/>
                </a:lnTo>
                <a:lnTo>
                  <a:pt x="49" y="53"/>
                </a:lnTo>
                <a:lnTo>
                  <a:pt x="52" y="46"/>
                </a:lnTo>
                <a:lnTo>
                  <a:pt x="53" y="48"/>
                </a:lnTo>
                <a:lnTo>
                  <a:pt x="57" y="42"/>
                </a:lnTo>
                <a:lnTo>
                  <a:pt x="56" y="38"/>
                </a:lnTo>
                <a:lnTo>
                  <a:pt x="58" y="30"/>
                </a:lnTo>
                <a:lnTo>
                  <a:pt x="58" y="25"/>
                </a:lnTo>
                <a:lnTo>
                  <a:pt x="58" y="18"/>
                </a:lnTo>
                <a:lnTo>
                  <a:pt x="15" y="0"/>
                </a:lnTo>
                <a:lnTo>
                  <a:pt x="11" y="6"/>
                </a:lnTo>
                <a:lnTo>
                  <a:pt x="9" y="12"/>
                </a:lnTo>
                <a:lnTo>
                  <a:pt x="9" y="17"/>
                </a:lnTo>
                <a:lnTo>
                  <a:pt x="4" y="32"/>
                </a:lnTo>
                <a:lnTo>
                  <a:pt x="0" y="37"/>
                </a:lnTo>
                <a:lnTo>
                  <a:pt x="2" y="41"/>
                </a:lnTo>
                <a:lnTo>
                  <a:pt x="3" y="42"/>
                </a:lnTo>
                <a:lnTo>
                  <a:pt x="5" y="48"/>
                </a:lnTo>
                <a:lnTo>
                  <a:pt x="4" y="53"/>
                </a:lnTo>
                <a:lnTo>
                  <a:pt x="1" y="58"/>
                </a:lnTo>
                <a:lnTo>
                  <a:pt x="2" y="68"/>
                </a:lnTo>
                <a:lnTo>
                  <a:pt x="6" y="73"/>
                </a:lnTo>
                <a:lnTo>
                  <a:pt x="10" y="76"/>
                </a:lnTo>
                <a:lnTo>
                  <a:pt x="11" y="81"/>
                </a:lnTo>
                <a:lnTo>
                  <a:pt x="15" y="85"/>
                </a:lnTo>
                <a:lnTo>
                  <a:pt x="17" y="85"/>
                </a:lnTo>
                <a:lnTo>
                  <a:pt x="21" y="90"/>
                </a:lnTo>
                <a:lnTo>
                  <a:pt x="31" y="101"/>
                </a:lnTo>
                <a:lnTo>
                  <a:pt x="29" y="106"/>
                </a:lnTo>
                <a:lnTo>
                  <a:pt x="24" y="112"/>
                </a:lnTo>
                <a:lnTo>
                  <a:pt x="21" y="117"/>
                </a:lnTo>
                <a:lnTo>
                  <a:pt x="19" y="118"/>
                </a:lnTo>
                <a:lnTo>
                  <a:pt x="19" y="118"/>
                </a:lnTo>
                <a:lnTo>
                  <a:pt x="19" y="120"/>
                </a:lnTo>
                <a:lnTo>
                  <a:pt x="17" y="125"/>
                </a:lnTo>
                <a:lnTo>
                  <a:pt x="17" y="129"/>
                </a:lnTo>
                <a:lnTo>
                  <a:pt x="17" y="130"/>
                </a:lnTo>
                <a:lnTo>
                  <a:pt x="13" y="134"/>
                </a:lnTo>
                <a:lnTo>
                  <a:pt x="11" y="135"/>
                </a:lnTo>
                <a:lnTo>
                  <a:pt x="9" y="137"/>
                </a:lnTo>
                <a:lnTo>
                  <a:pt x="5" y="142"/>
                </a:lnTo>
                <a:lnTo>
                  <a:pt x="3" y="147"/>
                </a:lnTo>
                <a:lnTo>
                  <a:pt x="2" y="155"/>
                </a:lnTo>
                <a:lnTo>
                  <a:pt x="1" y="158"/>
                </a:lnTo>
                <a:lnTo>
                  <a:pt x="1" y="158"/>
                </a:lnTo>
                <a:lnTo>
                  <a:pt x="1" y="158"/>
                </a:lnTo>
                <a:close/>
              </a:path>
            </a:pathLst>
          </a:custGeom>
          <a:solidFill>
            <a:srgbClr val="E75936">
              <a:alpha val="84598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26AAD53C-FEB1-4B45-8736-803568584B0F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21">
        <xdr:nvSpPr>
          <xdr:cNvPr id="507" name="ME">
            <a:extLst>
              <a:ext uri="{FF2B5EF4-FFF2-40B4-BE49-F238E27FC236}">
                <a16:creationId xmlns:a16="http://schemas.microsoft.com/office/drawing/2014/main" id="{00000000-0008-0000-0100-0000FB010000}"/>
              </a:ext>
            </a:extLst>
          </xdr:cNvPr>
          <xdr:cNvSpPr>
            <a:spLocks/>
          </xdr:cNvSpPr>
        </xdr:nvSpPr>
        <xdr:spPr bwMode="auto">
          <a:xfrm>
            <a:off x="5544889" y="1718568"/>
            <a:ext cx="304800" cy="470647"/>
          </a:xfrm>
          <a:custGeom>
            <a:avLst/>
            <a:gdLst>
              <a:gd name="T0" fmla="*/ 31 w 188"/>
              <a:gd name="T1" fmla="*/ 344 h 396"/>
              <a:gd name="T2" fmla="*/ 37 w 188"/>
              <a:gd name="T3" fmla="*/ 372 h 396"/>
              <a:gd name="T4" fmla="*/ 48 w 188"/>
              <a:gd name="T5" fmla="*/ 384 h 396"/>
              <a:gd name="T6" fmla="*/ 54 w 188"/>
              <a:gd name="T7" fmla="*/ 396 h 396"/>
              <a:gd name="T8" fmla="*/ 58 w 188"/>
              <a:gd name="T9" fmla="*/ 380 h 396"/>
              <a:gd name="T10" fmla="*/ 65 w 188"/>
              <a:gd name="T11" fmla="*/ 358 h 396"/>
              <a:gd name="T12" fmla="*/ 66 w 188"/>
              <a:gd name="T13" fmla="*/ 340 h 396"/>
              <a:gd name="T14" fmla="*/ 73 w 188"/>
              <a:gd name="T15" fmla="*/ 317 h 396"/>
              <a:gd name="T16" fmla="*/ 76 w 188"/>
              <a:gd name="T17" fmla="*/ 328 h 396"/>
              <a:gd name="T18" fmla="*/ 80 w 188"/>
              <a:gd name="T19" fmla="*/ 317 h 396"/>
              <a:gd name="T20" fmla="*/ 79 w 188"/>
              <a:gd name="T21" fmla="*/ 305 h 396"/>
              <a:gd name="T22" fmla="*/ 80 w 188"/>
              <a:gd name="T23" fmla="*/ 297 h 396"/>
              <a:gd name="T24" fmla="*/ 87 w 188"/>
              <a:gd name="T25" fmla="*/ 316 h 396"/>
              <a:gd name="T26" fmla="*/ 87 w 188"/>
              <a:gd name="T27" fmla="*/ 301 h 396"/>
              <a:gd name="T28" fmla="*/ 92 w 188"/>
              <a:gd name="T29" fmla="*/ 314 h 396"/>
              <a:gd name="T30" fmla="*/ 92 w 188"/>
              <a:gd name="T31" fmla="*/ 297 h 396"/>
              <a:gd name="T32" fmla="*/ 96 w 188"/>
              <a:gd name="T33" fmla="*/ 312 h 396"/>
              <a:gd name="T34" fmla="*/ 98 w 188"/>
              <a:gd name="T35" fmla="*/ 294 h 396"/>
              <a:gd name="T36" fmla="*/ 108 w 188"/>
              <a:gd name="T37" fmla="*/ 292 h 396"/>
              <a:gd name="T38" fmla="*/ 110 w 188"/>
              <a:gd name="T39" fmla="*/ 274 h 396"/>
              <a:gd name="T40" fmla="*/ 111 w 188"/>
              <a:gd name="T41" fmla="*/ 257 h 396"/>
              <a:gd name="T42" fmla="*/ 113 w 188"/>
              <a:gd name="T43" fmla="*/ 238 h 396"/>
              <a:gd name="T44" fmla="*/ 120 w 188"/>
              <a:gd name="T45" fmla="*/ 248 h 396"/>
              <a:gd name="T46" fmla="*/ 126 w 188"/>
              <a:gd name="T47" fmla="*/ 257 h 396"/>
              <a:gd name="T48" fmla="*/ 129 w 188"/>
              <a:gd name="T49" fmla="*/ 249 h 396"/>
              <a:gd name="T50" fmla="*/ 133 w 188"/>
              <a:gd name="T51" fmla="*/ 244 h 396"/>
              <a:gd name="T52" fmla="*/ 147 w 188"/>
              <a:gd name="T53" fmla="*/ 237 h 396"/>
              <a:gd name="T54" fmla="*/ 150 w 188"/>
              <a:gd name="T55" fmla="*/ 233 h 396"/>
              <a:gd name="T56" fmla="*/ 154 w 188"/>
              <a:gd name="T57" fmla="*/ 229 h 396"/>
              <a:gd name="T58" fmla="*/ 155 w 188"/>
              <a:gd name="T59" fmla="*/ 224 h 396"/>
              <a:gd name="T60" fmla="*/ 163 w 188"/>
              <a:gd name="T61" fmla="*/ 224 h 396"/>
              <a:gd name="T62" fmla="*/ 168 w 188"/>
              <a:gd name="T63" fmla="*/ 213 h 396"/>
              <a:gd name="T64" fmla="*/ 172 w 188"/>
              <a:gd name="T65" fmla="*/ 206 h 396"/>
              <a:gd name="T66" fmla="*/ 179 w 188"/>
              <a:gd name="T67" fmla="*/ 204 h 396"/>
              <a:gd name="T68" fmla="*/ 188 w 188"/>
              <a:gd name="T69" fmla="*/ 184 h 396"/>
              <a:gd name="T70" fmla="*/ 182 w 188"/>
              <a:gd name="T71" fmla="*/ 187 h 396"/>
              <a:gd name="T72" fmla="*/ 175 w 188"/>
              <a:gd name="T73" fmla="*/ 163 h 396"/>
              <a:gd name="T74" fmla="*/ 172 w 188"/>
              <a:gd name="T75" fmla="*/ 160 h 396"/>
              <a:gd name="T76" fmla="*/ 161 w 188"/>
              <a:gd name="T77" fmla="*/ 160 h 396"/>
              <a:gd name="T78" fmla="*/ 155 w 188"/>
              <a:gd name="T79" fmla="*/ 143 h 396"/>
              <a:gd name="T80" fmla="*/ 153 w 188"/>
              <a:gd name="T81" fmla="*/ 129 h 396"/>
              <a:gd name="T82" fmla="*/ 140 w 188"/>
              <a:gd name="T83" fmla="*/ 128 h 396"/>
              <a:gd name="T84" fmla="*/ 135 w 188"/>
              <a:gd name="T85" fmla="*/ 117 h 396"/>
              <a:gd name="T86" fmla="*/ 127 w 188"/>
              <a:gd name="T87" fmla="*/ 89 h 396"/>
              <a:gd name="T88" fmla="*/ 98 w 188"/>
              <a:gd name="T89" fmla="*/ 7 h 396"/>
              <a:gd name="T90" fmla="*/ 80 w 188"/>
              <a:gd name="T91" fmla="*/ 3 h 396"/>
              <a:gd name="T92" fmla="*/ 69 w 188"/>
              <a:gd name="T93" fmla="*/ 17 h 396"/>
              <a:gd name="T94" fmla="*/ 56 w 188"/>
              <a:gd name="T95" fmla="*/ 24 h 396"/>
              <a:gd name="T96" fmla="*/ 45 w 188"/>
              <a:gd name="T97" fmla="*/ 7 h 396"/>
              <a:gd name="T98" fmla="*/ 25 w 188"/>
              <a:gd name="T99" fmla="*/ 107 h 396"/>
              <a:gd name="T100" fmla="*/ 22 w 188"/>
              <a:gd name="T101" fmla="*/ 136 h 396"/>
              <a:gd name="T102" fmla="*/ 21 w 188"/>
              <a:gd name="T103" fmla="*/ 164 h 396"/>
              <a:gd name="T104" fmla="*/ 13 w 188"/>
              <a:gd name="T105" fmla="*/ 185 h 396"/>
              <a:gd name="T106" fmla="*/ 16 w 188"/>
              <a:gd name="T107" fmla="*/ 202 h 396"/>
              <a:gd name="T108" fmla="*/ 10 w 188"/>
              <a:gd name="T109" fmla="*/ 206 h 396"/>
              <a:gd name="T110" fmla="*/ 3 w 188"/>
              <a:gd name="T111" fmla="*/ 212 h 396"/>
              <a:gd name="T112" fmla="*/ 0 w 188"/>
              <a:gd name="T113" fmla="*/ 217 h 39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</a:cxnLst>
            <a:rect l="0" t="0" r="r" b="b"/>
            <a:pathLst>
              <a:path w="188" h="396">
                <a:moveTo>
                  <a:pt x="0" y="217"/>
                </a:moveTo>
                <a:lnTo>
                  <a:pt x="1" y="220"/>
                </a:lnTo>
                <a:lnTo>
                  <a:pt x="31" y="344"/>
                </a:lnTo>
                <a:lnTo>
                  <a:pt x="36" y="360"/>
                </a:lnTo>
                <a:lnTo>
                  <a:pt x="36" y="366"/>
                </a:lnTo>
                <a:lnTo>
                  <a:pt x="37" y="372"/>
                </a:lnTo>
                <a:lnTo>
                  <a:pt x="39" y="377"/>
                </a:lnTo>
                <a:lnTo>
                  <a:pt x="43" y="381"/>
                </a:lnTo>
                <a:lnTo>
                  <a:pt x="48" y="384"/>
                </a:lnTo>
                <a:lnTo>
                  <a:pt x="48" y="389"/>
                </a:lnTo>
                <a:lnTo>
                  <a:pt x="52" y="396"/>
                </a:lnTo>
                <a:lnTo>
                  <a:pt x="54" y="396"/>
                </a:lnTo>
                <a:lnTo>
                  <a:pt x="58" y="390"/>
                </a:lnTo>
                <a:lnTo>
                  <a:pt x="59" y="385"/>
                </a:lnTo>
                <a:lnTo>
                  <a:pt x="58" y="380"/>
                </a:lnTo>
                <a:lnTo>
                  <a:pt x="58" y="374"/>
                </a:lnTo>
                <a:lnTo>
                  <a:pt x="62" y="369"/>
                </a:lnTo>
                <a:lnTo>
                  <a:pt x="65" y="358"/>
                </a:lnTo>
                <a:lnTo>
                  <a:pt x="63" y="353"/>
                </a:lnTo>
                <a:lnTo>
                  <a:pt x="69" y="342"/>
                </a:lnTo>
                <a:lnTo>
                  <a:pt x="66" y="340"/>
                </a:lnTo>
                <a:lnTo>
                  <a:pt x="66" y="336"/>
                </a:lnTo>
                <a:lnTo>
                  <a:pt x="67" y="329"/>
                </a:lnTo>
                <a:lnTo>
                  <a:pt x="73" y="317"/>
                </a:lnTo>
                <a:lnTo>
                  <a:pt x="75" y="328"/>
                </a:lnTo>
                <a:lnTo>
                  <a:pt x="76" y="322"/>
                </a:lnTo>
                <a:lnTo>
                  <a:pt x="76" y="328"/>
                </a:lnTo>
                <a:lnTo>
                  <a:pt x="78" y="322"/>
                </a:lnTo>
                <a:lnTo>
                  <a:pt x="79" y="317"/>
                </a:lnTo>
                <a:lnTo>
                  <a:pt x="80" y="317"/>
                </a:lnTo>
                <a:lnTo>
                  <a:pt x="84" y="328"/>
                </a:lnTo>
                <a:lnTo>
                  <a:pt x="85" y="322"/>
                </a:lnTo>
                <a:lnTo>
                  <a:pt x="79" y="305"/>
                </a:lnTo>
                <a:lnTo>
                  <a:pt x="78" y="308"/>
                </a:lnTo>
                <a:lnTo>
                  <a:pt x="78" y="302"/>
                </a:lnTo>
                <a:lnTo>
                  <a:pt x="80" y="297"/>
                </a:lnTo>
                <a:lnTo>
                  <a:pt x="80" y="302"/>
                </a:lnTo>
                <a:lnTo>
                  <a:pt x="86" y="321"/>
                </a:lnTo>
                <a:lnTo>
                  <a:pt x="87" y="316"/>
                </a:lnTo>
                <a:lnTo>
                  <a:pt x="84" y="309"/>
                </a:lnTo>
                <a:lnTo>
                  <a:pt x="85" y="302"/>
                </a:lnTo>
                <a:lnTo>
                  <a:pt x="87" y="301"/>
                </a:lnTo>
                <a:lnTo>
                  <a:pt x="89" y="306"/>
                </a:lnTo>
                <a:lnTo>
                  <a:pt x="88" y="312"/>
                </a:lnTo>
                <a:lnTo>
                  <a:pt x="92" y="314"/>
                </a:lnTo>
                <a:lnTo>
                  <a:pt x="90" y="304"/>
                </a:lnTo>
                <a:lnTo>
                  <a:pt x="91" y="298"/>
                </a:lnTo>
                <a:lnTo>
                  <a:pt x="92" y="297"/>
                </a:lnTo>
                <a:lnTo>
                  <a:pt x="91" y="302"/>
                </a:lnTo>
                <a:lnTo>
                  <a:pt x="92" y="308"/>
                </a:lnTo>
                <a:lnTo>
                  <a:pt x="96" y="312"/>
                </a:lnTo>
                <a:lnTo>
                  <a:pt x="96" y="306"/>
                </a:lnTo>
                <a:lnTo>
                  <a:pt x="96" y="300"/>
                </a:lnTo>
                <a:lnTo>
                  <a:pt x="98" y="294"/>
                </a:lnTo>
                <a:lnTo>
                  <a:pt x="102" y="296"/>
                </a:lnTo>
                <a:lnTo>
                  <a:pt x="106" y="297"/>
                </a:lnTo>
                <a:lnTo>
                  <a:pt x="108" y="292"/>
                </a:lnTo>
                <a:lnTo>
                  <a:pt x="111" y="285"/>
                </a:lnTo>
                <a:lnTo>
                  <a:pt x="109" y="280"/>
                </a:lnTo>
                <a:lnTo>
                  <a:pt x="110" y="274"/>
                </a:lnTo>
                <a:lnTo>
                  <a:pt x="109" y="269"/>
                </a:lnTo>
                <a:lnTo>
                  <a:pt x="111" y="264"/>
                </a:lnTo>
                <a:lnTo>
                  <a:pt x="111" y="257"/>
                </a:lnTo>
                <a:lnTo>
                  <a:pt x="109" y="252"/>
                </a:lnTo>
                <a:lnTo>
                  <a:pt x="115" y="248"/>
                </a:lnTo>
                <a:lnTo>
                  <a:pt x="113" y="238"/>
                </a:lnTo>
                <a:lnTo>
                  <a:pt x="117" y="244"/>
                </a:lnTo>
                <a:lnTo>
                  <a:pt x="116" y="249"/>
                </a:lnTo>
                <a:lnTo>
                  <a:pt x="120" y="248"/>
                </a:lnTo>
                <a:lnTo>
                  <a:pt x="119" y="254"/>
                </a:lnTo>
                <a:lnTo>
                  <a:pt x="117" y="257"/>
                </a:lnTo>
                <a:lnTo>
                  <a:pt x="126" y="257"/>
                </a:lnTo>
                <a:lnTo>
                  <a:pt x="132" y="261"/>
                </a:lnTo>
                <a:lnTo>
                  <a:pt x="129" y="254"/>
                </a:lnTo>
                <a:lnTo>
                  <a:pt x="129" y="249"/>
                </a:lnTo>
                <a:lnTo>
                  <a:pt x="130" y="244"/>
                </a:lnTo>
                <a:lnTo>
                  <a:pt x="129" y="238"/>
                </a:lnTo>
                <a:lnTo>
                  <a:pt x="133" y="244"/>
                </a:lnTo>
                <a:lnTo>
                  <a:pt x="137" y="238"/>
                </a:lnTo>
                <a:lnTo>
                  <a:pt x="136" y="233"/>
                </a:lnTo>
                <a:lnTo>
                  <a:pt x="147" y="237"/>
                </a:lnTo>
                <a:lnTo>
                  <a:pt x="150" y="244"/>
                </a:lnTo>
                <a:lnTo>
                  <a:pt x="151" y="238"/>
                </a:lnTo>
                <a:lnTo>
                  <a:pt x="150" y="233"/>
                </a:lnTo>
                <a:lnTo>
                  <a:pt x="152" y="230"/>
                </a:lnTo>
                <a:lnTo>
                  <a:pt x="154" y="236"/>
                </a:lnTo>
                <a:lnTo>
                  <a:pt x="154" y="229"/>
                </a:lnTo>
                <a:lnTo>
                  <a:pt x="155" y="236"/>
                </a:lnTo>
                <a:lnTo>
                  <a:pt x="156" y="229"/>
                </a:lnTo>
                <a:lnTo>
                  <a:pt x="155" y="224"/>
                </a:lnTo>
                <a:lnTo>
                  <a:pt x="157" y="217"/>
                </a:lnTo>
                <a:lnTo>
                  <a:pt x="161" y="224"/>
                </a:lnTo>
                <a:lnTo>
                  <a:pt x="163" y="224"/>
                </a:lnTo>
                <a:lnTo>
                  <a:pt x="164" y="218"/>
                </a:lnTo>
                <a:lnTo>
                  <a:pt x="168" y="218"/>
                </a:lnTo>
                <a:lnTo>
                  <a:pt x="168" y="213"/>
                </a:lnTo>
                <a:lnTo>
                  <a:pt x="171" y="210"/>
                </a:lnTo>
                <a:lnTo>
                  <a:pt x="172" y="210"/>
                </a:lnTo>
                <a:lnTo>
                  <a:pt x="172" y="206"/>
                </a:lnTo>
                <a:lnTo>
                  <a:pt x="176" y="208"/>
                </a:lnTo>
                <a:lnTo>
                  <a:pt x="173" y="202"/>
                </a:lnTo>
                <a:lnTo>
                  <a:pt x="179" y="204"/>
                </a:lnTo>
                <a:lnTo>
                  <a:pt x="183" y="200"/>
                </a:lnTo>
                <a:lnTo>
                  <a:pt x="188" y="189"/>
                </a:lnTo>
                <a:lnTo>
                  <a:pt x="188" y="184"/>
                </a:lnTo>
                <a:lnTo>
                  <a:pt x="184" y="179"/>
                </a:lnTo>
                <a:lnTo>
                  <a:pt x="185" y="181"/>
                </a:lnTo>
                <a:lnTo>
                  <a:pt x="182" y="187"/>
                </a:lnTo>
                <a:lnTo>
                  <a:pt x="178" y="181"/>
                </a:lnTo>
                <a:lnTo>
                  <a:pt x="183" y="173"/>
                </a:lnTo>
                <a:lnTo>
                  <a:pt x="175" y="163"/>
                </a:lnTo>
                <a:lnTo>
                  <a:pt x="175" y="161"/>
                </a:lnTo>
                <a:lnTo>
                  <a:pt x="174" y="161"/>
                </a:lnTo>
                <a:lnTo>
                  <a:pt x="172" y="160"/>
                </a:lnTo>
                <a:lnTo>
                  <a:pt x="168" y="160"/>
                </a:lnTo>
                <a:lnTo>
                  <a:pt x="165" y="165"/>
                </a:lnTo>
                <a:lnTo>
                  <a:pt x="161" y="160"/>
                </a:lnTo>
                <a:lnTo>
                  <a:pt x="159" y="155"/>
                </a:lnTo>
                <a:lnTo>
                  <a:pt x="159" y="148"/>
                </a:lnTo>
                <a:lnTo>
                  <a:pt x="155" y="143"/>
                </a:lnTo>
                <a:lnTo>
                  <a:pt x="154" y="137"/>
                </a:lnTo>
                <a:lnTo>
                  <a:pt x="155" y="132"/>
                </a:lnTo>
                <a:lnTo>
                  <a:pt x="153" y="129"/>
                </a:lnTo>
                <a:lnTo>
                  <a:pt x="149" y="131"/>
                </a:lnTo>
                <a:lnTo>
                  <a:pt x="144" y="131"/>
                </a:lnTo>
                <a:lnTo>
                  <a:pt x="140" y="128"/>
                </a:lnTo>
                <a:lnTo>
                  <a:pt x="136" y="128"/>
                </a:lnTo>
                <a:lnTo>
                  <a:pt x="135" y="123"/>
                </a:lnTo>
                <a:lnTo>
                  <a:pt x="135" y="117"/>
                </a:lnTo>
                <a:lnTo>
                  <a:pt x="133" y="112"/>
                </a:lnTo>
                <a:lnTo>
                  <a:pt x="133" y="107"/>
                </a:lnTo>
                <a:lnTo>
                  <a:pt x="127" y="89"/>
                </a:lnTo>
                <a:lnTo>
                  <a:pt x="109" y="16"/>
                </a:lnTo>
                <a:lnTo>
                  <a:pt x="106" y="15"/>
                </a:lnTo>
                <a:lnTo>
                  <a:pt x="98" y="7"/>
                </a:lnTo>
                <a:lnTo>
                  <a:pt x="89" y="3"/>
                </a:lnTo>
                <a:lnTo>
                  <a:pt x="85" y="0"/>
                </a:lnTo>
                <a:lnTo>
                  <a:pt x="80" y="3"/>
                </a:lnTo>
                <a:lnTo>
                  <a:pt x="77" y="9"/>
                </a:lnTo>
                <a:lnTo>
                  <a:pt x="73" y="12"/>
                </a:lnTo>
                <a:lnTo>
                  <a:pt x="69" y="17"/>
                </a:lnTo>
                <a:lnTo>
                  <a:pt x="65" y="20"/>
                </a:lnTo>
                <a:lnTo>
                  <a:pt x="61" y="25"/>
                </a:lnTo>
                <a:lnTo>
                  <a:pt x="56" y="24"/>
                </a:lnTo>
                <a:lnTo>
                  <a:pt x="52" y="19"/>
                </a:lnTo>
                <a:lnTo>
                  <a:pt x="49" y="8"/>
                </a:lnTo>
                <a:lnTo>
                  <a:pt x="45" y="7"/>
                </a:lnTo>
                <a:lnTo>
                  <a:pt x="41" y="8"/>
                </a:lnTo>
                <a:lnTo>
                  <a:pt x="22" y="84"/>
                </a:lnTo>
                <a:lnTo>
                  <a:pt x="25" y="107"/>
                </a:lnTo>
                <a:lnTo>
                  <a:pt x="21" y="115"/>
                </a:lnTo>
                <a:lnTo>
                  <a:pt x="19" y="131"/>
                </a:lnTo>
                <a:lnTo>
                  <a:pt x="22" y="136"/>
                </a:lnTo>
                <a:lnTo>
                  <a:pt x="22" y="147"/>
                </a:lnTo>
                <a:lnTo>
                  <a:pt x="25" y="152"/>
                </a:lnTo>
                <a:lnTo>
                  <a:pt x="21" y="164"/>
                </a:lnTo>
                <a:lnTo>
                  <a:pt x="23" y="168"/>
                </a:lnTo>
                <a:lnTo>
                  <a:pt x="16" y="180"/>
                </a:lnTo>
                <a:lnTo>
                  <a:pt x="13" y="185"/>
                </a:lnTo>
                <a:lnTo>
                  <a:pt x="13" y="190"/>
                </a:lnTo>
                <a:lnTo>
                  <a:pt x="12" y="192"/>
                </a:lnTo>
                <a:lnTo>
                  <a:pt x="16" y="202"/>
                </a:lnTo>
                <a:lnTo>
                  <a:pt x="12" y="201"/>
                </a:lnTo>
                <a:lnTo>
                  <a:pt x="11" y="201"/>
                </a:lnTo>
                <a:lnTo>
                  <a:pt x="10" y="206"/>
                </a:lnTo>
                <a:lnTo>
                  <a:pt x="11" y="212"/>
                </a:lnTo>
                <a:lnTo>
                  <a:pt x="7" y="214"/>
                </a:lnTo>
                <a:lnTo>
                  <a:pt x="3" y="212"/>
                </a:lnTo>
                <a:lnTo>
                  <a:pt x="0" y="217"/>
                </a:lnTo>
                <a:lnTo>
                  <a:pt x="0" y="217"/>
                </a:lnTo>
                <a:lnTo>
                  <a:pt x="0" y="217"/>
                </a:lnTo>
                <a:close/>
              </a:path>
            </a:pathLst>
          </a:custGeom>
          <a:solidFill>
            <a:srgbClr val="E75936">
              <a:alpha val="57134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6319C1C6-F8B6-4E4D-AF4B-A16DDE3FEA6C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23">
        <xdr:nvSpPr>
          <xdr:cNvPr id="504" name="MA">
            <a:extLst>
              <a:ext uri="{FF2B5EF4-FFF2-40B4-BE49-F238E27FC236}">
                <a16:creationId xmlns:a16="http://schemas.microsoft.com/office/drawing/2014/main" id="{00000000-0008-0000-0100-0000F8010000}"/>
              </a:ext>
            </a:extLst>
          </xdr:cNvPr>
          <xdr:cNvSpPr>
            <a:spLocks/>
          </xdr:cNvSpPr>
        </xdr:nvSpPr>
        <xdr:spPr bwMode="auto">
          <a:xfrm>
            <a:off x="5459164" y="2208265"/>
            <a:ext cx="276225" cy="147358"/>
          </a:xfrm>
          <a:custGeom>
            <a:avLst/>
            <a:gdLst>
              <a:gd name="T0" fmla="*/ 0 w 171"/>
              <a:gd name="T1" fmla="*/ 56 h 120"/>
              <a:gd name="T2" fmla="*/ 1 w 171"/>
              <a:gd name="T3" fmla="*/ 112 h 120"/>
              <a:gd name="T4" fmla="*/ 33 w 171"/>
              <a:gd name="T5" fmla="*/ 104 h 120"/>
              <a:gd name="T6" fmla="*/ 43 w 171"/>
              <a:gd name="T7" fmla="*/ 102 h 120"/>
              <a:gd name="T8" fmla="*/ 71 w 171"/>
              <a:gd name="T9" fmla="*/ 91 h 120"/>
              <a:gd name="T10" fmla="*/ 80 w 171"/>
              <a:gd name="T11" fmla="*/ 90 h 120"/>
              <a:gd name="T12" fmla="*/ 100 w 171"/>
              <a:gd name="T13" fmla="*/ 87 h 120"/>
              <a:gd name="T14" fmla="*/ 104 w 171"/>
              <a:gd name="T15" fmla="*/ 94 h 120"/>
              <a:gd name="T16" fmla="*/ 107 w 171"/>
              <a:gd name="T17" fmla="*/ 102 h 120"/>
              <a:gd name="T18" fmla="*/ 110 w 171"/>
              <a:gd name="T19" fmla="*/ 104 h 120"/>
              <a:gd name="T20" fmla="*/ 114 w 171"/>
              <a:gd name="T21" fmla="*/ 96 h 120"/>
              <a:gd name="T22" fmla="*/ 113 w 171"/>
              <a:gd name="T23" fmla="*/ 107 h 120"/>
              <a:gd name="T24" fmla="*/ 119 w 171"/>
              <a:gd name="T25" fmla="*/ 118 h 120"/>
              <a:gd name="T26" fmla="*/ 122 w 171"/>
              <a:gd name="T27" fmla="*/ 115 h 120"/>
              <a:gd name="T28" fmla="*/ 128 w 171"/>
              <a:gd name="T29" fmla="*/ 106 h 120"/>
              <a:gd name="T30" fmla="*/ 134 w 171"/>
              <a:gd name="T31" fmla="*/ 96 h 120"/>
              <a:gd name="T32" fmla="*/ 138 w 171"/>
              <a:gd name="T33" fmla="*/ 98 h 120"/>
              <a:gd name="T34" fmla="*/ 145 w 171"/>
              <a:gd name="T35" fmla="*/ 107 h 120"/>
              <a:gd name="T36" fmla="*/ 150 w 171"/>
              <a:gd name="T37" fmla="*/ 98 h 120"/>
              <a:gd name="T38" fmla="*/ 164 w 171"/>
              <a:gd name="T39" fmla="*/ 90 h 120"/>
              <a:gd name="T40" fmla="*/ 171 w 171"/>
              <a:gd name="T41" fmla="*/ 82 h 120"/>
              <a:gd name="T42" fmla="*/ 163 w 171"/>
              <a:gd name="T43" fmla="*/ 60 h 120"/>
              <a:gd name="T44" fmla="*/ 155 w 171"/>
              <a:gd name="T45" fmla="*/ 55 h 120"/>
              <a:gd name="T46" fmla="*/ 155 w 171"/>
              <a:gd name="T47" fmla="*/ 58 h 120"/>
              <a:gd name="T48" fmla="*/ 161 w 171"/>
              <a:gd name="T49" fmla="*/ 67 h 120"/>
              <a:gd name="T50" fmla="*/ 166 w 171"/>
              <a:gd name="T51" fmla="*/ 75 h 120"/>
              <a:gd name="T52" fmla="*/ 154 w 171"/>
              <a:gd name="T53" fmla="*/ 88 h 120"/>
              <a:gd name="T54" fmla="*/ 146 w 171"/>
              <a:gd name="T55" fmla="*/ 88 h 120"/>
              <a:gd name="T56" fmla="*/ 140 w 171"/>
              <a:gd name="T57" fmla="*/ 75 h 120"/>
              <a:gd name="T58" fmla="*/ 132 w 171"/>
              <a:gd name="T59" fmla="*/ 71 h 120"/>
              <a:gd name="T60" fmla="*/ 136 w 171"/>
              <a:gd name="T61" fmla="*/ 68 h 120"/>
              <a:gd name="T62" fmla="*/ 124 w 171"/>
              <a:gd name="T63" fmla="*/ 52 h 120"/>
              <a:gd name="T64" fmla="*/ 115 w 171"/>
              <a:gd name="T65" fmla="*/ 55 h 120"/>
              <a:gd name="T66" fmla="*/ 108 w 171"/>
              <a:gd name="T67" fmla="*/ 47 h 120"/>
              <a:gd name="T68" fmla="*/ 111 w 171"/>
              <a:gd name="T69" fmla="*/ 42 h 120"/>
              <a:gd name="T70" fmla="*/ 114 w 171"/>
              <a:gd name="T71" fmla="*/ 34 h 120"/>
              <a:gd name="T72" fmla="*/ 124 w 171"/>
              <a:gd name="T73" fmla="*/ 20 h 120"/>
              <a:gd name="T74" fmla="*/ 120 w 171"/>
              <a:gd name="T75" fmla="*/ 15 h 120"/>
              <a:gd name="T76" fmla="*/ 117 w 171"/>
              <a:gd name="T77" fmla="*/ 18 h 120"/>
              <a:gd name="T78" fmla="*/ 112 w 171"/>
              <a:gd name="T79" fmla="*/ 8 h 120"/>
              <a:gd name="T80" fmla="*/ 110 w 171"/>
              <a:gd name="T81" fmla="*/ 0 h 120"/>
              <a:gd name="T82" fmla="*/ 106 w 171"/>
              <a:gd name="T83" fmla="*/ 0 h 120"/>
              <a:gd name="T84" fmla="*/ 99 w 171"/>
              <a:gd name="T85" fmla="*/ 10 h 120"/>
              <a:gd name="T86" fmla="*/ 95 w 171"/>
              <a:gd name="T87" fmla="*/ 15 h 120"/>
              <a:gd name="T88" fmla="*/ 37 w 171"/>
              <a:gd name="T89" fmla="*/ 40 h 120"/>
              <a:gd name="T90" fmla="*/ 1 w 171"/>
              <a:gd name="T91" fmla="*/ 50 h 1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171" h="120">
                <a:moveTo>
                  <a:pt x="1" y="50"/>
                </a:moveTo>
                <a:lnTo>
                  <a:pt x="0" y="56"/>
                </a:lnTo>
                <a:lnTo>
                  <a:pt x="0" y="110"/>
                </a:lnTo>
                <a:lnTo>
                  <a:pt x="1" y="112"/>
                </a:lnTo>
                <a:lnTo>
                  <a:pt x="29" y="104"/>
                </a:lnTo>
                <a:lnTo>
                  <a:pt x="33" y="104"/>
                </a:lnTo>
                <a:lnTo>
                  <a:pt x="41" y="100"/>
                </a:lnTo>
                <a:lnTo>
                  <a:pt x="43" y="102"/>
                </a:lnTo>
                <a:lnTo>
                  <a:pt x="47" y="99"/>
                </a:lnTo>
                <a:lnTo>
                  <a:pt x="71" y="91"/>
                </a:lnTo>
                <a:lnTo>
                  <a:pt x="77" y="88"/>
                </a:lnTo>
                <a:lnTo>
                  <a:pt x="80" y="90"/>
                </a:lnTo>
                <a:lnTo>
                  <a:pt x="96" y="83"/>
                </a:lnTo>
                <a:lnTo>
                  <a:pt x="100" y="87"/>
                </a:lnTo>
                <a:lnTo>
                  <a:pt x="101" y="92"/>
                </a:lnTo>
                <a:lnTo>
                  <a:pt x="104" y="94"/>
                </a:lnTo>
                <a:lnTo>
                  <a:pt x="104" y="98"/>
                </a:lnTo>
                <a:lnTo>
                  <a:pt x="107" y="102"/>
                </a:lnTo>
                <a:lnTo>
                  <a:pt x="107" y="102"/>
                </a:lnTo>
                <a:lnTo>
                  <a:pt x="110" y="104"/>
                </a:lnTo>
                <a:lnTo>
                  <a:pt x="114" y="102"/>
                </a:lnTo>
                <a:lnTo>
                  <a:pt x="114" y="96"/>
                </a:lnTo>
                <a:lnTo>
                  <a:pt x="114" y="102"/>
                </a:lnTo>
                <a:lnTo>
                  <a:pt x="113" y="107"/>
                </a:lnTo>
                <a:lnTo>
                  <a:pt x="117" y="110"/>
                </a:lnTo>
                <a:lnTo>
                  <a:pt x="119" y="118"/>
                </a:lnTo>
                <a:lnTo>
                  <a:pt x="119" y="120"/>
                </a:lnTo>
                <a:lnTo>
                  <a:pt x="122" y="115"/>
                </a:lnTo>
                <a:lnTo>
                  <a:pt x="126" y="115"/>
                </a:lnTo>
                <a:lnTo>
                  <a:pt x="128" y="106"/>
                </a:lnTo>
                <a:lnTo>
                  <a:pt x="132" y="102"/>
                </a:lnTo>
                <a:lnTo>
                  <a:pt x="134" y="96"/>
                </a:lnTo>
                <a:lnTo>
                  <a:pt x="138" y="92"/>
                </a:lnTo>
                <a:lnTo>
                  <a:pt x="138" y="98"/>
                </a:lnTo>
                <a:lnTo>
                  <a:pt x="140" y="110"/>
                </a:lnTo>
                <a:lnTo>
                  <a:pt x="145" y="107"/>
                </a:lnTo>
                <a:lnTo>
                  <a:pt x="149" y="103"/>
                </a:lnTo>
                <a:lnTo>
                  <a:pt x="150" y="98"/>
                </a:lnTo>
                <a:lnTo>
                  <a:pt x="152" y="99"/>
                </a:lnTo>
                <a:lnTo>
                  <a:pt x="164" y="90"/>
                </a:lnTo>
                <a:lnTo>
                  <a:pt x="169" y="87"/>
                </a:lnTo>
                <a:lnTo>
                  <a:pt x="171" y="82"/>
                </a:lnTo>
                <a:lnTo>
                  <a:pt x="169" y="71"/>
                </a:lnTo>
                <a:lnTo>
                  <a:pt x="163" y="60"/>
                </a:lnTo>
                <a:lnTo>
                  <a:pt x="159" y="56"/>
                </a:lnTo>
                <a:lnTo>
                  <a:pt x="155" y="55"/>
                </a:lnTo>
                <a:lnTo>
                  <a:pt x="150" y="56"/>
                </a:lnTo>
                <a:lnTo>
                  <a:pt x="155" y="58"/>
                </a:lnTo>
                <a:lnTo>
                  <a:pt x="159" y="60"/>
                </a:lnTo>
                <a:lnTo>
                  <a:pt x="161" y="67"/>
                </a:lnTo>
                <a:lnTo>
                  <a:pt x="164" y="66"/>
                </a:lnTo>
                <a:lnTo>
                  <a:pt x="166" y="75"/>
                </a:lnTo>
                <a:lnTo>
                  <a:pt x="163" y="80"/>
                </a:lnTo>
                <a:lnTo>
                  <a:pt x="154" y="88"/>
                </a:lnTo>
                <a:lnTo>
                  <a:pt x="150" y="87"/>
                </a:lnTo>
                <a:lnTo>
                  <a:pt x="146" y="88"/>
                </a:lnTo>
                <a:lnTo>
                  <a:pt x="144" y="86"/>
                </a:lnTo>
                <a:lnTo>
                  <a:pt x="140" y="75"/>
                </a:lnTo>
                <a:lnTo>
                  <a:pt x="136" y="74"/>
                </a:lnTo>
                <a:lnTo>
                  <a:pt x="132" y="71"/>
                </a:lnTo>
                <a:lnTo>
                  <a:pt x="132" y="66"/>
                </a:lnTo>
                <a:lnTo>
                  <a:pt x="136" y="68"/>
                </a:lnTo>
                <a:lnTo>
                  <a:pt x="132" y="63"/>
                </a:lnTo>
                <a:lnTo>
                  <a:pt x="124" y="52"/>
                </a:lnTo>
                <a:lnTo>
                  <a:pt x="120" y="52"/>
                </a:lnTo>
                <a:lnTo>
                  <a:pt x="115" y="55"/>
                </a:lnTo>
                <a:lnTo>
                  <a:pt x="111" y="52"/>
                </a:lnTo>
                <a:lnTo>
                  <a:pt x="108" y="47"/>
                </a:lnTo>
                <a:lnTo>
                  <a:pt x="113" y="47"/>
                </a:lnTo>
                <a:lnTo>
                  <a:pt x="111" y="42"/>
                </a:lnTo>
                <a:lnTo>
                  <a:pt x="114" y="35"/>
                </a:lnTo>
                <a:lnTo>
                  <a:pt x="114" y="34"/>
                </a:lnTo>
                <a:lnTo>
                  <a:pt x="116" y="28"/>
                </a:lnTo>
                <a:lnTo>
                  <a:pt x="124" y="20"/>
                </a:lnTo>
                <a:lnTo>
                  <a:pt x="124" y="15"/>
                </a:lnTo>
                <a:lnTo>
                  <a:pt x="120" y="15"/>
                </a:lnTo>
                <a:lnTo>
                  <a:pt x="121" y="16"/>
                </a:lnTo>
                <a:lnTo>
                  <a:pt x="117" y="18"/>
                </a:lnTo>
                <a:lnTo>
                  <a:pt x="113" y="14"/>
                </a:lnTo>
                <a:lnTo>
                  <a:pt x="112" y="8"/>
                </a:lnTo>
                <a:lnTo>
                  <a:pt x="109" y="6"/>
                </a:lnTo>
                <a:lnTo>
                  <a:pt x="110" y="0"/>
                </a:lnTo>
                <a:lnTo>
                  <a:pt x="108" y="0"/>
                </a:lnTo>
                <a:lnTo>
                  <a:pt x="106" y="0"/>
                </a:lnTo>
                <a:lnTo>
                  <a:pt x="102" y="4"/>
                </a:lnTo>
                <a:lnTo>
                  <a:pt x="99" y="10"/>
                </a:lnTo>
                <a:lnTo>
                  <a:pt x="98" y="10"/>
                </a:lnTo>
                <a:lnTo>
                  <a:pt x="95" y="15"/>
                </a:lnTo>
                <a:lnTo>
                  <a:pt x="90" y="23"/>
                </a:lnTo>
                <a:lnTo>
                  <a:pt x="37" y="40"/>
                </a:lnTo>
                <a:lnTo>
                  <a:pt x="1" y="50"/>
                </a:lnTo>
                <a:lnTo>
                  <a:pt x="1" y="50"/>
                </a:lnTo>
                <a:lnTo>
                  <a:pt x="1" y="50"/>
                </a:lnTo>
                <a:close/>
              </a:path>
            </a:pathLst>
          </a:custGeom>
          <a:solidFill>
            <a:srgbClr val="E75936">
              <a:alpha val="28180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3890A526-CC9E-469E-853D-960638B09E6D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30">
        <xdr:nvSpPr>
          <xdr:cNvPr id="445" name="NV">
            <a:extLst>
              <a:ext uri="{FF2B5EF4-FFF2-40B4-BE49-F238E27FC236}">
                <a16:creationId xmlns:a16="http://schemas.microsoft.com/office/drawing/2014/main" id="{00000000-0008-0000-0100-0000BD010000}"/>
              </a:ext>
            </a:extLst>
          </xdr:cNvPr>
          <xdr:cNvSpPr>
            <a:spLocks/>
          </xdr:cNvSpPr>
        </xdr:nvSpPr>
        <xdr:spPr bwMode="auto">
          <a:xfrm>
            <a:off x="1817278" y="2355623"/>
            <a:ext cx="523875" cy="793936"/>
          </a:xfrm>
          <a:custGeom>
            <a:avLst/>
            <a:gdLst>
              <a:gd name="T0" fmla="*/ 11 w 325"/>
              <a:gd name="T1" fmla="*/ 194 h 670"/>
              <a:gd name="T2" fmla="*/ 0 w 325"/>
              <a:gd name="T3" fmla="*/ 251 h 670"/>
              <a:gd name="T4" fmla="*/ 151 w 325"/>
              <a:gd name="T5" fmla="*/ 545 h 670"/>
              <a:gd name="T6" fmla="*/ 215 w 325"/>
              <a:gd name="T7" fmla="*/ 670 h 670"/>
              <a:gd name="T8" fmla="*/ 215 w 325"/>
              <a:gd name="T9" fmla="*/ 657 h 670"/>
              <a:gd name="T10" fmla="*/ 220 w 325"/>
              <a:gd name="T11" fmla="*/ 653 h 670"/>
              <a:gd name="T12" fmla="*/ 221 w 325"/>
              <a:gd name="T13" fmla="*/ 639 h 670"/>
              <a:gd name="T14" fmla="*/ 219 w 325"/>
              <a:gd name="T15" fmla="*/ 629 h 670"/>
              <a:gd name="T16" fmla="*/ 219 w 325"/>
              <a:gd name="T17" fmla="*/ 623 h 670"/>
              <a:gd name="T18" fmla="*/ 221 w 325"/>
              <a:gd name="T19" fmla="*/ 615 h 670"/>
              <a:gd name="T20" fmla="*/ 220 w 325"/>
              <a:gd name="T21" fmla="*/ 605 h 670"/>
              <a:gd name="T22" fmla="*/ 221 w 325"/>
              <a:gd name="T23" fmla="*/ 599 h 670"/>
              <a:gd name="T24" fmla="*/ 223 w 325"/>
              <a:gd name="T25" fmla="*/ 594 h 670"/>
              <a:gd name="T26" fmla="*/ 220 w 325"/>
              <a:gd name="T27" fmla="*/ 582 h 670"/>
              <a:gd name="T28" fmla="*/ 222 w 325"/>
              <a:gd name="T29" fmla="*/ 575 h 670"/>
              <a:gd name="T30" fmla="*/ 227 w 325"/>
              <a:gd name="T31" fmla="*/ 571 h 670"/>
              <a:gd name="T32" fmla="*/ 232 w 325"/>
              <a:gd name="T33" fmla="*/ 570 h 670"/>
              <a:gd name="T34" fmla="*/ 236 w 325"/>
              <a:gd name="T35" fmla="*/ 574 h 670"/>
              <a:gd name="T36" fmla="*/ 240 w 325"/>
              <a:gd name="T37" fmla="*/ 574 h 670"/>
              <a:gd name="T38" fmla="*/ 244 w 325"/>
              <a:gd name="T39" fmla="*/ 579 h 670"/>
              <a:gd name="T40" fmla="*/ 245 w 325"/>
              <a:gd name="T41" fmla="*/ 586 h 670"/>
              <a:gd name="T42" fmla="*/ 250 w 325"/>
              <a:gd name="T43" fmla="*/ 586 h 670"/>
              <a:gd name="T44" fmla="*/ 254 w 325"/>
              <a:gd name="T45" fmla="*/ 581 h 670"/>
              <a:gd name="T46" fmla="*/ 258 w 325"/>
              <a:gd name="T47" fmla="*/ 573 h 670"/>
              <a:gd name="T48" fmla="*/ 268 w 325"/>
              <a:gd name="T49" fmla="*/ 505 h 670"/>
              <a:gd name="T50" fmla="*/ 325 w 325"/>
              <a:gd name="T51" fmla="*/ 77 h 670"/>
              <a:gd name="T52" fmla="*/ 261 w 325"/>
              <a:gd name="T53" fmla="*/ 62 h 670"/>
              <a:gd name="T54" fmla="*/ 185 w 325"/>
              <a:gd name="T55" fmla="*/ 41 h 670"/>
              <a:gd name="T56" fmla="*/ 128 w 325"/>
              <a:gd name="T57" fmla="*/ 25 h 670"/>
              <a:gd name="T58" fmla="*/ 46 w 325"/>
              <a:gd name="T59" fmla="*/ 0 h 670"/>
              <a:gd name="T60" fmla="*/ 11 w 325"/>
              <a:gd name="T61" fmla="*/ 194 h 670"/>
              <a:gd name="T62" fmla="*/ 11 w 325"/>
              <a:gd name="T63" fmla="*/ 194 h 670"/>
              <a:gd name="T64" fmla="*/ 11 w 325"/>
              <a:gd name="T65" fmla="*/ 194 h 67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325" h="670">
                <a:moveTo>
                  <a:pt x="11" y="194"/>
                </a:moveTo>
                <a:lnTo>
                  <a:pt x="0" y="251"/>
                </a:lnTo>
                <a:lnTo>
                  <a:pt x="151" y="545"/>
                </a:lnTo>
                <a:lnTo>
                  <a:pt x="215" y="670"/>
                </a:lnTo>
                <a:lnTo>
                  <a:pt x="215" y="657"/>
                </a:lnTo>
                <a:lnTo>
                  <a:pt x="220" y="653"/>
                </a:lnTo>
                <a:lnTo>
                  <a:pt x="221" y="639"/>
                </a:lnTo>
                <a:lnTo>
                  <a:pt x="219" y="629"/>
                </a:lnTo>
                <a:lnTo>
                  <a:pt x="219" y="623"/>
                </a:lnTo>
                <a:lnTo>
                  <a:pt x="221" y="615"/>
                </a:lnTo>
                <a:lnTo>
                  <a:pt x="220" y="605"/>
                </a:lnTo>
                <a:lnTo>
                  <a:pt x="221" y="599"/>
                </a:lnTo>
                <a:lnTo>
                  <a:pt x="223" y="594"/>
                </a:lnTo>
                <a:lnTo>
                  <a:pt x="220" y="582"/>
                </a:lnTo>
                <a:lnTo>
                  <a:pt x="222" y="575"/>
                </a:lnTo>
                <a:lnTo>
                  <a:pt x="227" y="571"/>
                </a:lnTo>
                <a:lnTo>
                  <a:pt x="232" y="570"/>
                </a:lnTo>
                <a:lnTo>
                  <a:pt x="236" y="574"/>
                </a:lnTo>
                <a:lnTo>
                  <a:pt x="240" y="574"/>
                </a:lnTo>
                <a:lnTo>
                  <a:pt x="244" y="579"/>
                </a:lnTo>
                <a:lnTo>
                  <a:pt x="245" y="586"/>
                </a:lnTo>
                <a:lnTo>
                  <a:pt x="250" y="586"/>
                </a:lnTo>
                <a:lnTo>
                  <a:pt x="254" y="581"/>
                </a:lnTo>
                <a:lnTo>
                  <a:pt x="258" y="573"/>
                </a:lnTo>
                <a:lnTo>
                  <a:pt x="268" y="505"/>
                </a:lnTo>
                <a:lnTo>
                  <a:pt x="325" y="77"/>
                </a:lnTo>
                <a:lnTo>
                  <a:pt x="261" y="62"/>
                </a:lnTo>
                <a:lnTo>
                  <a:pt x="185" y="41"/>
                </a:lnTo>
                <a:lnTo>
                  <a:pt x="128" y="25"/>
                </a:lnTo>
                <a:lnTo>
                  <a:pt x="46" y="0"/>
                </a:lnTo>
                <a:lnTo>
                  <a:pt x="11" y="194"/>
                </a:lnTo>
                <a:lnTo>
                  <a:pt x="11" y="194"/>
                </a:lnTo>
                <a:lnTo>
                  <a:pt x="11" y="194"/>
                </a:lnTo>
                <a:close/>
              </a:path>
            </a:pathLst>
          </a:custGeom>
          <a:solidFill>
            <a:srgbClr val="E75936">
              <a:alpha val="59028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57200E5C-D3A5-4A2E-9F9B-D50CCF15A64C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51">
        <xdr:nvSpPr>
          <xdr:cNvPr id="491" name="WV">
            <a:extLst>
              <a:ext uri="{FF2B5EF4-FFF2-40B4-BE49-F238E27FC236}">
                <a16:creationId xmlns:a16="http://schemas.microsoft.com/office/drawing/2014/main" id="{00000000-0008-0000-0100-0000EB010000}"/>
              </a:ext>
            </a:extLst>
          </xdr:cNvPr>
          <xdr:cNvSpPr>
            <a:spLocks/>
          </xdr:cNvSpPr>
        </xdr:nvSpPr>
        <xdr:spPr bwMode="auto">
          <a:xfrm>
            <a:off x="4825472" y="2593187"/>
            <a:ext cx="371475" cy="361390"/>
          </a:xfrm>
          <a:custGeom>
            <a:avLst/>
            <a:gdLst>
              <a:gd name="T0" fmla="*/ 2 w 228"/>
              <a:gd name="T1" fmla="*/ 220 h 307"/>
              <a:gd name="T2" fmla="*/ 9 w 228"/>
              <a:gd name="T3" fmla="*/ 248 h 307"/>
              <a:gd name="T4" fmla="*/ 23 w 228"/>
              <a:gd name="T5" fmla="*/ 274 h 307"/>
              <a:gd name="T6" fmla="*/ 40 w 228"/>
              <a:gd name="T7" fmla="*/ 288 h 307"/>
              <a:gd name="T8" fmla="*/ 56 w 228"/>
              <a:gd name="T9" fmla="*/ 306 h 307"/>
              <a:gd name="T10" fmla="*/ 72 w 228"/>
              <a:gd name="T11" fmla="*/ 294 h 307"/>
              <a:gd name="T12" fmla="*/ 92 w 228"/>
              <a:gd name="T13" fmla="*/ 291 h 307"/>
              <a:gd name="T14" fmla="*/ 97 w 228"/>
              <a:gd name="T15" fmla="*/ 280 h 307"/>
              <a:gd name="T16" fmla="*/ 116 w 228"/>
              <a:gd name="T17" fmla="*/ 275 h 307"/>
              <a:gd name="T18" fmla="*/ 123 w 228"/>
              <a:gd name="T19" fmla="*/ 260 h 307"/>
              <a:gd name="T20" fmla="*/ 125 w 228"/>
              <a:gd name="T21" fmla="*/ 239 h 307"/>
              <a:gd name="T22" fmla="*/ 135 w 228"/>
              <a:gd name="T23" fmla="*/ 210 h 307"/>
              <a:gd name="T24" fmla="*/ 141 w 228"/>
              <a:gd name="T25" fmla="*/ 187 h 307"/>
              <a:gd name="T26" fmla="*/ 143 w 228"/>
              <a:gd name="T27" fmla="*/ 168 h 307"/>
              <a:gd name="T28" fmla="*/ 152 w 228"/>
              <a:gd name="T29" fmla="*/ 174 h 307"/>
              <a:gd name="T30" fmla="*/ 166 w 228"/>
              <a:gd name="T31" fmla="*/ 168 h 307"/>
              <a:gd name="T32" fmla="*/ 171 w 228"/>
              <a:gd name="T33" fmla="*/ 143 h 307"/>
              <a:gd name="T34" fmla="*/ 181 w 228"/>
              <a:gd name="T35" fmla="*/ 136 h 307"/>
              <a:gd name="T36" fmla="*/ 191 w 228"/>
              <a:gd name="T37" fmla="*/ 120 h 307"/>
              <a:gd name="T38" fmla="*/ 196 w 228"/>
              <a:gd name="T39" fmla="*/ 92 h 307"/>
              <a:gd name="T40" fmla="*/ 202 w 228"/>
              <a:gd name="T41" fmla="*/ 78 h 307"/>
              <a:gd name="T42" fmla="*/ 228 w 228"/>
              <a:gd name="T43" fmla="*/ 79 h 307"/>
              <a:gd name="T44" fmla="*/ 223 w 228"/>
              <a:gd name="T45" fmla="*/ 66 h 307"/>
              <a:gd name="T46" fmla="*/ 220 w 228"/>
              <a:gd name="T47" fmla="*/ 58 h 307"/>
              <a:gd name="T48" fmla="*/ 204 w 228"/>
              <a:gd name="T49" fmla="*/ 52 h 307"/>
              <a:gd name="T50" fmla="*/ 194 w 228"/>
              <a:gd name="T51" fmla="*/ 60 h 307"/>
              <a:gd name="T52" fmla="*/ 183 w 228"/>
              <a:gd name="T53" fmla="*/ 72 h 307"/>
              <a:gd name="T54" fmla="*/ 174 w 228"/>
              <a:gd name="T55" fmla="*/ 67 h 307"/>
              <a:gd name="T56" fmla="*/ 164 w 228"/>
              <a:gd name="T57" fmla="*/ 83 h 307"/>
              <a:gd name="T58" fmla="*/ 154 w 228"/>
              <a:gd name="T59" fmla="*/ 96 h 307"/>
              <a:gd name="T60" fmla="*/ 144 w 228"/>
              <a:gd name="T61" fmla="*/ 112 h 307"/>
              <a:gd name="T62" fmla="*/ 78 w 228"/>
              <a:gd name="T63" fmla="*/ 0 h 307"/>
              <a:gd name="T64" fmla="*/ 72 w 228"/>
              <a:gd name="T65" fmla="*/ 8 h 307"/>
              <a:gd name="T66" fmla="*/ 76 w 228"/>
              <a:gd name="T67" fmla="*/ 36 h 307"/>
              <a:gd name="T68" fmla="*/ 74 w 228"/>
              <a:gd name="T69" fmla="*/ 66 h 307"/>
              <a:gd name="T70" fmla="*/ 72 w 228"/>
              <a:gd name="T71" fmla="*/ 76 h 307"/>
              <a:gd name="T72" fmla="*/ 66 w 228"/>
              <a:gd name="T73" fmla="*/ 99 h 307"/>
              <a:gd name="T74" fmla="*/ 46 w 228"/>
              <a:gd name="T75" fmla="*/ 116 h 307"/>
              <a:gd name="T76" fmla="*/ 36 w 228"/>
              <a:gd name="T77" fmla="*/ 132 h 307"/>
              <a:gd name="T78" fmla="*/ 32 w 228"/>
              <a:gd name="T79" fmla="*/ 150 h 307"/>
              <a:gd name="T80" fmla="*/ 31 w 228"/>
              <a:gd name="T81" fmla="*/ 166 h 307"/>
              <a:gd name="T82" fmla="*/ 20 w 228"/>
              <a:gd name="T83" fmla="*/ 162 h 307"/>
              <a:gd name="T84" fmla="*/ 17 w 228"/>
              <a:gd name="T85" fmla="*/ 175 h 307"/>
              <a:gd name="T86" fmla="*/ 18 w 228"/>
              <a:gd name="T87" fmla="*/ 194 h 307"/>
              <a:gd name="T88" fmla="*/ 11 w 228"/>
              <a:gd name="T89" fmla="*/ 210 h 307"/>
              <a:gd name="T90" fmla="*/ 0 w 228"/>
              <a:gd name="T91" fmla="*/ 214 h 30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228" h="307">
                <a:moveTo>
                  <a:pt x="0" y="214"/>
                </a:moveTo>
                <a:lnTo>
                  <a:pt x="1" y="218"/>
                </a:lnTo>
                <a:lnTo>
                  <a:pt x="2" y="220"/>
                </a:lnTo>
                <a:lnTo>
                  <a:pt x="3" y="226"/>
                </a:lnTo>
                <a:lnTo>
                  <a:pt x="1" y="236"/>
                </a:lnTo>
                <a:lnTo>
                  <a:pt x="9" y="248"/>
                </a:lnTo>
                <a:lnTo>
                  <a:pt x="11" y="254"/>
                </a:lnTo>
                <a:lnTo>
                  <a:pt x="15" y="259"/>
                </a:lnTo>
                <a:lnTo>
                  <a:pt x="23" y="274"/>
                </a:lnTo>
                <a:lnTo>
                  <a:pt x="32" y="282"/>
                </a:lnTo>
                <a:lnTo>
                  <a:pt x="40" y="283"/>
                </a:lnTo>
                <a:lnTo>
                  <a:pt x="40" y="288"/>
                </a:lnTo>
                <a:lnTo>
                  <a:pt x="43" y="294"/>
                </a:lnTo>
                <a:lnTo>
                  <a:pt x="48" y="299"/>
                </a:lnTo>
                <a:lnTo>
                  <a:pt x="56" y="306"/>
                </a:lnTo>
                <a:lnTo>
                  <a:pt x="62" y="307"/>
                </a:lnTo>
                <a:lnTo>
                  <a:pt x="70" y="299"/>
                </a:lnTo>
                <a:lnTo>
                  <a:pt x="72" y="294"/>
                </a:lnTo>
                <a:lnTo>
                  <a:pt x="79" y="298"/>
                </a:lnTo>
                <a:lnTo>
                  <a:pt x="83" y="298"/>
                </a:lnTo>
                <a:lnTo>
                  <a:pt x="92" y="291"/>
                </a:lnTo>
                <a:lnTo>
                  <a:pt x="96" y="290"/>
                </a:lnTo>
                <a:lnTo>
                  <a:pt x="97" y="286"/>
                </a:lnTo>
                <a:lnTo>
                  <a:pt x="97" y="280"/>
                </a:lnTo>
                <a:lnTo>
                  <a:pt x="103" y="283"/>
                </a:lnTo>
                <a:lnTo>
                  <a:pt x="111" y="274"/>
                </a:lnTo>
                <a:lnTo>
                  <a:pt x="116" y="275"/>
                </a:lnTo>
                <a:lnTo>
                  <a:pt x="124" y="267"/>
                </a:lnTo>
                <a:lnTo>
                  <a:pt x="125" y="266"/>
                </a:lnTo>
                <a:lnTo>
                  <a:pt x="123" y="260"/>
                </a:lnTo>
                <a:lnTo>
                  <a:pt x="127" y="255"/>
                </a:lnTo>
                <a:lnTo>
                  <a:pt x="123" y="250"/>
                </a:lnTo>
                <a:lnTo>
                  <a:pt x="125" y="239"/>
                </a:lnTo>
                <a:lnTo>
                  <a:pt x="129" y="228"/>
                </a:lnTo>
                <a:lnTo>
                  <a:pt x="133" y="220"/>
                </a:lnTo>
                <a:lnTo>
                  <a:pt x="135" y="210"/>
                </a:lnTo>
                <a:lnTo>
                  <a:pt x="136" y="204"/>
                </a:lnTo>
                <a:lnTo>
                  <a:pt x="139" y="199"/>
                </a:lnTo>
                <a:lnTo>
                  <a:pt x="141" y="187"/>
                </a:lnTo>
                <a:lnTo>
                  <a:pt x="143" y="186"/>
                </a:lnTo>
                <a:lnTo>
                  <a:pt x="143" y="179"/>
                </a:lnTo>
                <a:lnTo>
                  <a:pt x="143" y="168"/>
                </a:lnTo>
                <a:lnTo>
                  <a:pt x="148" y="167"/>
                </a:lnTo>
                <a:lnTo>
                  <a:pt x="152" y="171"/>
                </a:lnTo>
                <a:lnTo>
                  <a:pt x="152" y="174"/>
                </a:lnTo>
                <a:lnTo>
                  <a:pt x="160" y="175"/>
                </a:lnTo>
                <a:lnTo>
                  <a:pt x="164" y="174"/>
                </a:lnTo>
                <a:lnTo>
                  <a:pt x="166" y="168"/>
                </a:lnTo>
                <a:lnTo>
                  <a:pt x="168" y="156"/>
                </a:lnTo>
                <a:lnTo>
                  <a:pt x="170" y="151"/>
                </a:lnTo>
                <a:lnTo>
                  <a:pt x="171" y="143"/>
                </a:lnTo>
                <a:lnTo>
                  <a:pt x="172" y="138"/>
                </a:lnTo>
                <a:lnTo>
                  <a:pt x="177" y="139"/>
                </a:lnTo>
                <a:lnTo>
                  <a:pt x="181" y="136"/>
                </a:lnTo>
                <a:lnTo>
                  <a:pt x="184" y="126"/>
                </a:lnTo>
                <a:lnTo>
                  <a:pt x="188" y="126"/>
                </a:lnTo>
                <a:lnTo>
                  <a:pt x="191" y="120"/>
                </a:lnTo>
                <a:lnTo>
                  <a:pt x="194" y="110"/>
                </a:lnTo>
                <a:lnTo>
                  <a:pt x="197" y="103"/>
                </a:lnTo>
                <a:lnTo>
                  <a:pt x="196" y="92"/>
                </a:lnTo>
                <a:lnTo>
                  <a:pt x="198" y="86"/>
                </a:lnTo>
                <a:lnTo>
                  <a:pt x="197" y="80"/>
                </a:lnTo>
                <a:lnTo>
                  <a:pt x="202" y="78"/>
                </a:lnTo>
                <a:lnTo>
                  <a:pt x="224" y="95"/>
                </a:lnTo>
                <a:lnTo>
                  <a:pt x="227" y="88"/>
                </a:lnTo>
                <a:lnTo>
                  <a:pt x="228" y="79"/>
                </a:lnTo>
                <a:lnTo>
                  <a:pt x="227" y="75"/>
                </a:lnTo>
                <a:lnTo>
                  <a:pt x="224" y="71"/>
                </a:lnTo>
                <a:lnTo>
                  <a:pt x="223" y="66"/>
                </a:lnTo>
                <a:lnTo>
                  <a:pt x="219" y="64"/>
                </a:lnTo>
                <a:lnTo>
                  <a:pt x="221" y="58"/>
                </a:lnTo>
                <a:lnTo>
                  <a:pt x="220" y="58"/>
                </a:lnTo>
                <a:lnTo>
                  <a:pt x="212" y="59"/>
                </a:lnTo>
                <a:lnTo>
                  <a:pt x="208" y="55"/>
                </a:lnTo>
                <a:lnTo>
                  <a:pt x="204" y="52"/>
                </a:lnTo>
                <a:lnTo>
                  <a:pt x="200" y="55"/>
                </a:lnTo>
                <a:lnTo>
                  <a:pt x="198" y="60"/>
                </a:lnTo>
                <a:lnTo>
                  <a:pt x="194" y="60"/>
                </a:lnTo>
                <a:lnTo>
                  <a:pt x="190" y="67"/>
                </a:lnTo>
                <a:lnTo>
                  <a:pt x="190" y="72"/>
                </a:lnTo>
                <a:lnTo>
                  <a:pt x="183" y="72"/>
                </a:lnTo>
                <a:lnTo>
                  <a:pt x="179" y="72"/>
                </a:lnTo>
                <a:lnTo>
                  <a:pt x="175" y="67"/>
                </a:lnTo>
                <a:lnTo>
                  <a:pt x="174" y="67"/>
                </a:lnTo>
                <a:lnTo>
                  <a:pt x="173" y="72"/>
                </a:lnTo>
                <a:lnTo>
                  <a:pt x="168" y="83"/>
                </a:lnTo>
                <a:lnTo>
                  <a:pt x="164" y="83"/>
                </a:lnTo>
                <a:lnTo>
                  <a:pt x="160" y="84"/>
                </a:lnTo>
                <a:lnTo>
                  <a:pt x="158" y="90"/>
                </a:lnTo>
                <a:lnTo>
                  <a:pt x="154" y="96"/>
                </a:lnTo>
                <a:lnTo>
                  <a:pt x="152" y="102"/>
                </a:lnTo>
                <a:lnTo>
                  <a:pt x="148" y="106"/>
                </a:lnTo>
                <a:lnTo>
                  <a:pt x="144" y="112"/>
                </a:lnTo>
                <a:lnTo>
                  <a:pt x="139" y="67"/>
                </a:lnTo>
                <a:lnTo>
                  <a:pt x="88" y="79"/>
                </a:lnTo>
                <a:lnTo>
                  <a:pt x="78" y="0"/>
                </a:lnTo>
                <a:lnTo>
                  <a:pt x="75" y="3"/>
                </a:lnTo>
                <a:lnTo>
                  <a:pt x="73" y="3"/>
                </a:lnTo>
                <a:lnTo>
                  <a:pt x="72" y="8"/>
                </a:lnTo>
                <a:lnTo>
                  <a:pt x="75" y="14"/>
                </a:lnTo>
                <a:lnTo>
                  <a:pt x="78" y="30"/>
                </a:lnTo>
                <a:lnTo>
                  <a:pt x="76" y="36"/>
                </a:lnTo>
                <a:lnTo>
                  <a:pt x="74" y="52"/>
                </a:lnTo>
                <a:lnTo>
                  <a:pt x="75" y="58"/>
                </a:lnTo>
                <a:lnTo>
                  <a:pt x="74" y="66"/>
                </a:lnTo>
                <a:lnTo>
                  <a:pt x="72" y="66"/>
                </a:lnTo>
                <a:lnTo>
                  <a:pt x="73" y="71"/>
                </a:lnTo>
                <a:lnTo>
                  <a:pt x="72" y="76"/>
                </a:lnTo>
                <a:lnTo>
                  <a:pt x="73" y="82"/>
                </a:lnTo>
                <a:lnTo>
                  <a:pt x="71" y="92"/>
                </a:lnTo>
                <a:lnTo>
                  <a:pt x="66" y="99"/>
                </a:lnTo>
                <a:lnTo>
                  <a:pt x="61" y="110"/>
                </a:lnTo>
                <a:lnTo>
                  <a:pt x="53" y="120"/>
                </a:lnTo>
                <a:lnTo>
                  <a:pt x="46" y="116"/>
                </a:lnTo>
                <a:lnTo>
                  <a:pt x="42" y="123"/>
                </a:lnTo>
                <a:lnTo>
                  <a:pt x="42" y="128"/>
                </a:lnTo>
                <a:lnTo>
                  <a:pt x="36" y="132"/>
                </a:lnTo>
                <a:lnTo>
                  <a:pt x="34" y="138"/>
                </a:lnTo>
                <a:lnTo>
                  <a:pt x="34" y="144"/>
                </a:lnTo>
                <a:lnTo>
                  <a:pt x="32" y="150"/>
                </a:lnTo>
                <a:lnTo>
                  <a:pt x="35" y="155"/>
                </a:lnTo>
                <a:lnTo>
                  <a:pt x="32" y="160"/>
                </a:lnTo>
                <a:lnTo>
                  <a:pt x="31" y="166"/>
                </a:lnTo>
                <a:lnTo>
                  <a:pt x="26" y="158"/>
                </a:lnTo>
                <a:lnTo>
                  <a:pt x="23" y="155"/>
                </a:lnTo>
                <a:lnTo>
                  <a:pt x="20" y="162"/>
                </a:lnTo>
                <a:lnTo>
                  <a:pt x="18" y="167"/>
                </a:lnTo>
                <a:lnTo>
                  <a:pt x="18" y="172"/>
                </a:lnTo>
                <a:lnTo>
                  <a:pt x="17" y="175"/>
                </a:lnTo>
                <a:lnTo>
                  <a:pt x="16" y="180"/>
                </a:lnTo>
                <a:lnTo>
                  <a:pt x="17" y="183"/>
                </a:lnTo>
                <a:lnTo>
                  <a:pt x="18" y="194"/>
                </a:lnTo>
                <a:lnTo>
                  <a:pt x="14" y="198"/>
                </a:lnTo>
                <a:lnTo>
                  <a:pt x="14" y="204"/>
                </a:lnTo>
                <a:lnTo>
                  <a:pt x="11" y="210"/>
                </a:lnTo>
                <a:lnTo>
                  <a:pt x="5" y="212"/>
                </a:lnTo>
                <a:lnTo>
                  <a:pt x="1" y="214"/>
                </a:lnTo>
                <a:lnTo>
                  <a:pt x="0" y="214"/>
                </a:lnTo>
                <a:lnTo>
                  <a:pt x="0" y="214"/>
                </a:lnTo>
                <a:lnTo>
                  <a:pt x="0" y="214"/>
                </a:lnTo>
                <a:close/>
              </a:path>
            </a:pathLst>
          </a:custGeom>
          <a:solidFill>
            <a:srgbClr val="E75936">
              <a:alpha val="64681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484D3796-6B37-49C1-9625-69E6C1B3B106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47">
        <xdr:nvSpPr>
          <xdr:cNvPr id="448" name="UT">
            <a:extLst>
              <a:ext uri="{FF2B5EF4-FFF2-40B4-BE49-F238E27FC236}">
                <a16:creationId xmlns:a16="http://schemas.microsoft.com/office/drawing/2014/main" id="{00000000-0008-0000-0100-0000C0010000}"/>
              </a:ext>
            </a:extLst>
          </xdr:cNvPr>
          <xdr:cNvSpPr>
            <a:spLocks/>
          </xdr:cNvSpPr>
        </xdr:nvSpPr>
        <xdr:spPr bwMode="auto">
          <a:xfrm>
            <a:off x="2255428" y="2445830"/>
            <a:ext cx="452717" cy="575422"/>
          </a:xfrm>
          <a:custGeom>
            <a:avLst/>
            <a:gdLst>
              <a:gd name="T0" fmla="*/ 0 w 285"/>
              <a:gd name="T1" fmla="*/ 428 h 480"/>
              <a:gd name="T2" fmla="*/ 46 w 285"/>
              <a:gd name="T3" fmla="*/ 438 h 480"/>
              <a:gd name="T4" fmla="*/ 115 w 285"/>
              <a:gd name="T5" fmla="*/ 454 h 480"/>
              <a:gd name="T6" fmla="*/ 183 w 285"/>
              <a:gd name="T7" fmla="*/ 468 h 480"/>
              <a:gd name="T8" fmla="*/ 252 w 285"/>
              <a:gd name="T9" fmla="*/ 480 h 480"/>
              <a:gd name="T10" fmla="*/ 285 w 285"/>
              <a:gd name="T11" fmla="*/ 134 h 480"/>
              <a:gd name="T12" fmla="*/ 189 w 285"/>
              <a:gd name="T13" fmla="*/ 117 h 480"/>
              <a:gd name="T14" fmla="*/ 198 w 285"/>
              <a:gd name="T15" fmla="*/ 31 h 480"/>
              <a:gd name="T16" fmla="*/ 142 w 285"/>
              <a:gd name="T17" fmla="*/ 20 h 480"/>
              <a:gd name="T18" fmla="*/ 75 w 285"/>
              <a:gd name="T19" fmla="*/ 5 h 480"/>
              <a:gd name="T20" fmla="*/ 57 w 285"/>
              <a:gd name="T21" fmla="*/ 0 h 480"/>
              <a:gd name="T22" fmla="*/ 0 w 285"/>
              <a:gd name="T23" fmla="*/ 428 h 480"/>
              <a:gd name="T24" fmla="*/ 0 w 285"/>
              <a:gd name="T25" fmla="*/ 428 h 480"/>
              <a:gd name="T26" fmla="*/ 0 w 285"/>
              <a:gd name="T27" fmla="*/ 428 h 48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285" h="480">
                <a:moveTo>
                  <a:pt x="0" y="428"/>
                </a:moveTo>
                <a:lnTo>
                  <a:pt x="46" y="438"/>
                </a:lnTo>
                <a:lnTo>
                  <a:pt x="115" y="454"/>
                </a:lnTo>
                <a:lnTo>
                  <a:pt x="183" y="468"/>
                </a:lnTo>
                <a:lnTo>
                  <a:pt x="252" y="480"/>
                </a:lnTo>
                <a:lnTo>
                  <a:pt x="285" y="134"/>
                </a:lnTo>
                <a:lnTo>
                  <a:pt x="189" y="117"/>
                </a:lnTo>
                <a:lnTo>
                  <a:pt x="198" y="31"/>
                </a:lnTo>
                <a:lnTo>
                  <a:pt x="142" y="20"/>
                </a:lnTo>
                <a:lnTo>
                  <a:pt x="75" y="5"/>
                </a:lnTo>
                <a:lnTo>
                  <a:pt x="57" y="0"/>
                </a:lnTo>
                <a:lnTo>
                  <a:pt x="0" y="428"/>
                </a:lnTo>
                <a:lnTo>
                  <a:pt x="0" y="428"/>
                </a:lnTo>
                <a:lnTo>
                  <a:pt x="0" y="428"/>
                </a:lnTo>
                <a:close/>
              </a:path>
            </a:pathLst>
          </a:custGeom>
          <a:solidFill>
            <a:srgbClr val="E75936">
              <a:alpha val="59271"/>
            </a:srgbClr>
          </a:solidFill>
          <a:ln w="9525" cap="flat" cmpd="sng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/>
          <a:lstStyle/>
          <a:p>
            <a:fld id="{055CE5D9-95DA-4833-9932-B8143FB77862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36">
        <xdr:nvSpPr>
          <xdr:cNvPr id="456" name="ND">
            <a:extLst>
              <a:ext uri="{FF2B5EF4-FFF2-40B4-BE49-F238E27FC236}">
                <a16:creationId xmlns:a16="http://schemas.microsoft.com/office/drawing/2014/main" id="{00000000-0008-0000-0100-0000C8010000}"/>
              </a:ext>
            </a:extLst>
          </xdr:cNvPr>
          <xdr:cNvSpPr>
            <a:spLocks/>
          </xdr:cNvSpPr>
        </xdr:nvSpPr>
        <xdr:spPr bwMode="auto">
          <a:xfrm>
            <a:off x="3142641" y="1827826"/>
            <a:ext cx="547967" cy="332814"/>
          </a:xfrm>
          <a:custGeom>
            <a:avLst/>
            <a:gdLst>
              <a:gd name="T0" fmla="*/ 0 w 336"/>
              <a:gd name="T1" fmla="*/ 260 h 276"/>
              <a:gd name="T2" fmla="*/ 80 w 336"/>
              <a:gd name="T3" fmla="*/ 267 h 276"/>
              <a:gd name="T4" fmla="*/ 169 w 336"/>
              <a:gd name="T5" fmla="*/ 272 h 276"/>
              <a:gd name="T6" fmla="*/ 252 w 336"/>
              <a:gd name="T7" fmla="*/ 275 h 276"/>
              <a:gd name="T8" fmla="*/ 336 w 336"/>
              <a:gd name="T9" fmla="*/ 276 h 276"/>
              <a:gd name="T10" fmla="*/ 336 w 336"/>
              <a:gd name="T11" fmla="*/ 269 h 276"/>
              <a:gd name="T12" fmla="*/ 336 w 336"/>
              <a:gd name="T13" fmla="*/ 264 h 276"/>
              <a:gd name="T14" fmla="*/ 335 w 336"/>
              <a:gd name="T15" fmla="*/ 253 h 276"/>
              <a:gd name="T16" fmla="*/ 335 w 336"/>
              <a:gd name="T17" fmla="*/ 248 h 276"/>
              <a:gd name="T18" fmla="*/ 334 w 336"/>
              <a:gd name="T19" fmla="*/ 243 h 276"/>
              <a:gd name="T20" fmla="*/ 329 w 336"/>
              <a:gd name="T21" fmla="*/ 233 h 276"/>
              <a:gd name="T22" fmla="*/ 328 w 336"/>
              <a:gd name="T23" fmla="*/ 228 h 276"/>
              <a:gd name="T24" fmla="*/ 328 w 336"/>
              <a:gd name="T25" fmla="*/ 223 h 276"/>
              <a:gd name="T26" fmla="*/ 326 w 336"/>
              <a:gd name="T27" fmla="*/ 217 h 276"/>
              <a:gd name="T28" fmla="*/ 326 w 336"/>
              <a:gd name="T29" fmla="*/ 196 h 276"/>
              <a:gd name="T30" fmla="*/ 326 w 336"/>
              <a:gd name="T31" fmla="*/ 191 h 276"/>
              <a:gd name="T32" fmla="*/ 324 w 336"/>
              <a:gd name="T33" fmla="*/ 185 h 276"/>
              <a:gd name="T34" fmla="*/ 324 w 336"/>
              <a:gd name="T35" fmla="*/ 177 h 276"/>
              <a:gd name="T36" fmla="*/ 323 w 336"/>
              <a:gd name="T37" fmla="*/ 165 h 276"/>
              <a:gd name="T38" fmla="*/ 323 w 336"/>
              <a:gd name="T39" fmla="*/ 155 h 276"/>
              <a:gd name="T40" fmla="*/ 322 w 336"/>
              <a:gd name="T41" fmla="*/ 149 h 276"/>
              <a:gd name="T42" fmla="*/ 323 w 336"/>
              <a:gd name="T43" fmla="*/ 144 h 276"/>
              <a:gd name="T44" fmla="*/ 323 w 336"/>
              <a:gd name="T45" fmla="*/ 137 h 276"/>
              <a:gd name="T46" fmla="*/ 321 w 336"/>
              <a:gd name="T47" fmla="*/ 125 h 276"/>
              <a:gd name="T48" fmla="*/ 315 w 336"/>
              <a:gd name="T49" fmla="*/ 109 h 276"/>
              <a:gd name="T50" fmla="*/ 316 w 336"/>
              <a:gd name="T51" fmla="*/ 107 h 276"/>
              <a:gd name="T52" fmla="*/ 311 w 336"/>
              <a:gd name="T53" fmla="*/ 88 h 276"/>
              <a:gd name="T54" fmla="*/ 310 w 336"/>
              <a:gd name="T55" fmla="*/ 83 h 276"/>
              <a:gd name="T56" fmla="*/ 311 w 336"/>
              <a:gd name="T57" fmla="*/ 72 h 276"/>
              <a:gd name="T58" fmla="*/ 310 w 336"/>
              <a:gd name="T59" fmla="*/ 68 h 276"/>
              <a:gd name="T60" fmla="*/ 311 w 336"/>
              <a:gd name="T61" fmla="*/ 63 h 276"/>
              <a:gd name="T62" fmla="*/ 310 w 336"/>
              <a:gd name="T63" fmla="*/ 54 h 276"/>
              <a:gd name="T64" fmla="*/ 312 w 336"/>
              <a:gd name="T65" fmla="*/ 43 h 276"/>
              <a:gd name="T66" fmla="*/ 310 w 336"/>
              <a:gd name="T67" fmla="*/ 38 h 276"/>
              <a:gd name="T68" fmla="*/ 308 w 336"/>
              <a:gd name="T69" fmla="*/ 22 h 276"/>
              <a:gd name="T70" fmla="*/ 306 w 336"/>
              <a:gd name="T71" fmla="*/ 18 h 276"/>
              <a:gd name="T72" fmla="*/ 306 w 336"/>
              <a:gd name="T73" fmla="*/ 16 h 276"/>
              <a:gd name="T74" fmla="*/ 307 w 336"/>
              <a:gd name="T75" fmla="*/ 14 h 276"/>
              <a:gd name="T76" fmla="*/ 269 w 336"/>
              <a:gd name="T77" fmla="*/ 14 h 276"/>
              <a:gd name="T78" fmla="*/ 182 w 336"/>
              <a:gd name="T79" fmla="*/ 11 h 276"/>
              <a:gd name="T80" fmla="*/ 81 w 336"/>
              <a:gd name="T81" fmla="*/ 6 h 276"/>
              <a:gd name="T82" fmla="*/ 13 w 336"/>
              <a:gd name="T83" fmla="*/ 0 h 276"/>
              <a:gd name="T84" fmla="*/ 13 w 336"/>
              <a:gd name="T85" fmla="*/ 2 h 276"/>
              <a:gd name="T86" fmla="*/ 0 w 336"/>
              <a:gd name="T87" fmla="*/ 260 h 276"/>
              <a:gd name="T88" fmla="*/ 0 w 336"/>
              <a:gd name="T89" fmla="*/ 260 h 276"/>
              <a:gd name="T90" fmla="*/ 0 w 336"/>
              <a:gd name="T91" fmla="*/ 260 h 2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336" h="276">
                <a:moveTo>
                  <a:pt x="0" y="260"/>
                </a:moveTo>
                <a:lnTo>
                  <a:pt x="80" y="267"/>
                </a:lnTo>
                <a:lnTo>
                  <a:pt x="169" y="272"/>
                </a:lnTo>
                <a:lnTo>
                  <a:pt x="252" y="275"/>
                </a:lnTo>
                <a:lnTo>
                  <a:pt x="336" y="276"/>
                </a:lnTo>
                <a:lnTo>
                  <a:pt x="336" y="269"/>
                </a:lnTo>
                <a:lnTo>
                  <a:pt x="336" y="264"/>
                </a:lnTo>
                <a:lnTo>
                  <a:pt x="335" y="253"/>
                </a:lnTo>
                <a:lnTo>
                  <a:pt x="335" y="248"/>
                </a:lnTo>
                <a:lnTo>
                  <a:pt x="334" y="243"/>
                </a:lnTo>
                <a:lnTo>
                  <a:pt x="329" y="233"/>
                </a:lnTo>
                <a:lnTo>
                  <a:pt x="328" y="228"/>
                </a:lnTo>
                <a:lnTo>
                  <a:pt x="328" y="223"/>
                </a:lnTo>
                <a:lnTo>
                  <a:pt x="326" y="217"/>
                </a:lnTo>
                <a:lnTo>
                  <a:pt x="326" y="196"/>
                </a:lnTo>
                <a:lnTo>
                  <a:pt x="326" y="191"/>
                </a:lnTo>
                <a:lnTo>
                  <a:pt x="324" y="185"/>
                </a:lnTo>
                <a:lnTo>
                  <a:pt x="324" y="177"/>
                </a:lnTo>
                <a:lnTo>
                  <a:pt x="323" y="165"/>
                </a:lnTo>
                <a:lnTo>
                  <a:pt x="323" y="155"/>
                </a:lnTo>
                <a:lnTo>
                  <a:pt x="322" y="149"/>
                </a:lnTo>
                <a:lnTo>
                  <a:pt x="323" y="144"/>
                </a:lnTo>
                <a:lnTo>
                  <a:pt x="323" y="137"/>
                </a:lnTo>
                <a:lnTo>
                  <a:pt x="321" y="125"/>
                </a:lnTo>
                <a:lnTo>
                  <a:pt x="315" y="109"/>
                </a:lnTo>
                <a:lnTo>
                  <a:pt x="316" y="107"/>
                </a:lnTo>
                <a:lnTo>
                  <a:pt x="311" y="88"/>
                </a:lnTo>
                <a:lnTo>
                  <a:pt x="310" y="83"/>
                </a:lnTo>
                <a:lnTo>
                  <a:pt x="311" y="72"/>
                </a:lnTo>
                <a:lnTo>
                  <a:pt x="310" y="68"/>
                </a:lnTo>
                <a:lnTo>
                  <a:pt x="311" y="63"/>
                </a:lnTo>
                <a:lnTo>
                  <a:pt x="310" y="54"/>
                </a:lnTo>
                <a:lnTo>
                  <a:pt x="312" y="43"/>
                </a:lnTo>
                <a:lnTo>
                  <a:pt x="310" y="38"/>
                </a:lnTo>
                <a:lnTo>
                  <a:pt x="308" y="22"/>
                </a:lnTo>
                <a:lnTo>
                  <a:pt x="306" y="18"/>
                </a:lnTo>
                <a:lnTo>
                  <a:pt x="306" y="16"/>
                </a:lnTo>
                <a:lnTo>
                  <a:pt x="307" y="14"/>
                </a:lnTo>
                <a:lnTo>
                  <a:pt x="269" y="14"/>
                </a:lnTo>
                <a:lnTo>
                  <a:pt x="182" y="11"/>
                </a:lnTo>
                <a:lnTo>
                  <a:pt x="81" y="6"/>
                </a:lnTo>
                <a:lnTo>
                  <a:pt x="13" y="0"/>
                </a:lnTo>
                <a:lnTo>
                  <a:pt x="13" y="2"/>
                </a:lnTo>
                <a:lnTo>
                  <a:pt x="0" y="260"/>
                </a:lnTo>
                <a:lnTo>
                  <a:pt x="0" y="260"/>
                </a:lnTo>
                <a:lnTo>
                  <a:pt x="0" y="260"/>
                </a:lnTo>
                <a:close/>
              </a:path>
            </a:pathLst>
          </a:custGeom>
          <a:solidFill>
            <a:srgbClr val="E75936">
              <a:alpha val="31245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75A65213-E309-4A26-91DC-3974321C0C4E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4">
        <xdr:nvSpPr>
          <xdr:cNvPr id="446" name="AZ">
            <a:extLst>
              <a:ext uri="{FF2B5EF4-FFF2-40B4-BE49-F238E27FC236}">
                <a16:creationId xmlns:a16="http://schemas.microsoft.com/office/drawing/2014/main" id="{00000000-0008-0000-0100-0000BE010000}"/>
              </a:ext>
            </a:extLst>
          </xdr:cNvPr>
          <xdr:cNvSpPr>
            <a:spLocks/>
          </xdr:cNvSpPr>
        </xdr:nvSpPr>
        <xdr:spPr bwMode="auto">
          <a:xfrm>
            <a:off x="2103028" y="2954577"/>
            <a:ext cx="557492" cy="646580"/>
          </a:xfrm>
          <a:custGeom>
            <a:avLst/>
            <a:gdLst>
              <a:gd name="T0" fmla="*/ 2 w 345"/>
              <a:gd name="T1" fmla="*/ 367 h 538"/>
              <a:gd name="T2" fmla="*/ 13 w 345"/>
              <a:gd name="T3" fmla="*/ 383 h 538"/>
              <a:gd name="T4" fmla="*/ 190 w 345"/>
              <a:gd name="T5" fmla="*/ 519 h 538"/>
              <a:gd name="T6" fmla="*/ 299 w 345"/>
              <a:gd name="T7" fmla="*/ 538 h 538"/>
              <a:gd name="T8" fmla="*/ 345 w 345"/>
              <a:gd name="T9" fmla="*/ 52 h 538"/>
              <a:gd name="T10" fmla="*/ 208 w 345"/>
              <a:gd name="T11" fmla="*/ 26 h 538"/>
              <a:gd name="T12" fmla="*/ 93 w 345"/>
              <a:gd name="T13" fmla="*/ 0 h 538"/>
              <a:gd name="T14" fmla="*/ 79 w 345"/>
              <a:gd name="T15" fmla="*/ 76 h 538"/>
              <a:gd name="T16" fmla="*/ 70 w 345"/>
              <a:gd name="T17" fmla="*/ 81 h 538"/>
              <a:gd name="T18" fmla="*/ 65 w 345"/>
              <a:gd name="T19" fmla="*/ 69 h 538"/>
              <a:gd name="T20" fmla="*/ 57 w 345"/>
              <a:gd name="T21" fmla="*/ 65 h 538"/>
              <a:gd name="T22" fmla="*/ 47 w 345"/>
              <a:gd name="T23" fmla="*/ 70 h 538"/>
              <a:gd name="T24" fmla="*/ 48 w 345"/>
              <a:gd name="T25" fmla="*/ 89 h 538"/>
              <a:gd name="T26" fmla="*/ 45 w 345"/>
              <a:gd name="T27" fmla="*/ 100 h 538"/>
              <a:gd name="T28" fmla="*/ 44 w 345"/>
              <a:gd name="T29" fmla="*/ 118 h 538"/>
              <a:gd name="T30" fmla="*/ 46 w 345"/>
              <a:gd name="T31" fmla="*/ 134 h 538"/>
              <a:gd name="T32" fmla="*/ 40 w 345"/>
              <a:gd name="T33" fmla="*/ 152 h 538"/>
              <a:gd name="T34" fmla="*/ 39 w 345"/>
              <a:gd name="T35" fmla="*/ 170 h 538"/>
              <a:gd name="T36" fmla="*/ 44 w 345"/>
              <a:gd name="T37" fmla="*/ 188 h 538"/>
              <a:gd name="T38" fmla="*/ 46 w 345"/>
              <a:gd name="T39" fmla="*/ 200 h 538"/>
              <a:gd name="T40" fmla="*/ 47 w 345"/>
              <a:gd name="T41" fmla="*/ 213 h 538"/>
              <a:gd name="T42" fmla="*/ 58 w 345"/>
              <a:gd name="T43" fmla="*/ 229 h 538"/>
              <a:gd name="T44" fmla="*/ 40 w 345"/>
              <a:gd name="T45" fmla="*/ 243 h 538"/>
              <a:gd name="T46" fmla="*/ 34 w 345"/>
              <a:gd name="T47" fmla="*/ 253 h 538"/>
              <a:gd name="T48" fmla="*/ 32 w 345"/>
              <a:gd name="T49" fmla="*/ 273 h 538"/>
              <a:gd name="T50" fmla="*/ 28 w 345"/>
              <a:gd name="T51" fmla="*/ 286 h 538"/>
              <a:gd name="T52" fmla="*/ 16 w 345"/>
              <a:gd name="T53" fmla="*/ 302 h 538"/>
              <a:gd name="T54" fmla="*/ 16 w 345"/>
              <a:gd name="T55" fmla="*/ 313 h 538"/>
              <a:gd name="T56" fmla="*/ 13 w 345"/>
              <a:gd name="T57" fmla="*/ 325 h 538"/>
              <a:gd name="T58" fmla="*/ 18 w 345"/>
              <a:gd name="T59" fmla="*/ 331 h 538"/>
              <a:gd name="T60" fmla="*/ 23 w 345"/>
              <a:gd name="T61" fmla="*/ 341 h 538"/>
              <a:gd name="T62" fmla="*/ 18 w 345"/>
              <a:gd name="T63" fmla="*/ 353 h 538"/>
              <a:gd name="T64" fmla="*/ 13 w 345"/>
              <a:gd name="T65" fmla="*/ 357 h 538"/>
              <a:gd name="T66" fmla="*/ 10 w 345"/>
              <a:gd name="T67" fmla="*/ 357 h 538"/>
              <a:gd name="T68" fmla="*/ 8 w 345"/>
              <a:gd name="T69" fmla="*/ 357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345" h="538">
                <a:moveTo>
                  <a:pt x="8" y="357"/>
                </a:moveTo>
                <a:lnTo>
                  <a:pt x="2" y="367"/>
                </a:lnTo>
                <a:lnTo>
                  <a:pt x="0" y="374"/>
                </a:lnTo>
                <a:lnTo>
                  <a:pt x="13" y="383"/>
                </a:lnTo>
                <a:lnTo>
                  <a:pt x="120" y="466"/>
                </a:lnTo>
                <a:lnTo>
                  <a:pt x="190" y="519"/>
                </a:lnTo>
                <a:lnTo>
                  <a:pt x="272" y="534"/>
                </a:lnTo>
                <a:lnTo>
                  <a:pt x="299" y="538"/>
                </a:lnTo>
                <a:lnTo>
                  <a:pt x="300" y="535"/>
                </a:lnTo>
                <a:lnTo>
                  <a:pt x="345" y="52"/>
                </a:lnTo>
                <a:lnTo>
                  <a:pt x="276" y="40"/>
                </a:lnTo>
                <a:lnTo>
                  <a:pt x="208" y="26"/>
                </a:lnTo>
                <a:lnTo>
                  <a:pt x="139" y="10"/>
                </a:lnTo>
                <a:lnTo>
                  <a:pt x="93" y="0"/>
                </a:lnTo>
                <a:lnTo>
                  <a:pt x="83" y="68"/>
                </a:lnTo>
                <a:lnTo>
                  <a:pt x="79" y="76"/>
                </a:lnTo>
                <a:lnTo>
                  <a:pt x="75" y="81"/>
                </a:lnTo>
                <a:lnTo>
                  <a:pt x="70" y="81"/>
                </a:lnTo>
                <a:lnTo>
                  <a:pt x="69" y="74"/>
                </a:lnTo>
                <a:lnTo>
                  <a:pt x="65" y="69"/>
                </a:lnTo>
                <a:lnTo>
                  <a:pt x="61" y="69"/>
                </a:lnTo>
                <a:lnTo>
                  <a:pt x="57" y="65"/>
                </a:lnTo>
                <a:lnTo>
                  <a:pt x="52" y="66"/>
                </a:lnTo>
                <a:lnTo>
                  <a:pt x="47" y="70"/>
                </a:lnTo>
                <a:lnTo>
                  <a:pt x="45" y="77"/>
                </a:lnTo>
                <a:lnTo>
                  <a:pt x="48" y="89"/>
                </a:lnTo>
                <a:lnTo>
                  <a:pt x="46" y="94"/>
                </a:lnTo>
                <a:lnTo>
                  <a:pt x="45" y="100"/>
                </a:lnTo>
                <a:lnTo>
                  <a:pt x="46" y="110"/>
                </a:lnTo>
                <a:lnTo>
                  <a:pt x="44" y="118"/>
                </a:lnTo>
                <a:lnTo>
                  <a:pt x="44" y="124"/>
                </a:lnTo>
                <a:lnTo>
                  <a:pt x="46" y="134"/>
                </a:lnTo>
                <a:lnTo>
                  <a:pt x="45" y="148"/>
                </a:lnTo>
                <a:lnTo>
                  <a:pt x="40" y="152"/>
                </a:lnTo>
                <a:lnTo>
                  <a:pt x="40" y="165"/>
                </a:lnTo>
                <a:lnTo>
                  <a:pt x="39" y="170"/>
                </a:lnTo>
                <a:lnTo>
                  <a:pt x="39" y="176"/>
                </a:lnTo>
                <a:lnTo>
                  <a:pt x="44" y="188"/>
                </a:lnTo>
                <a:lnTo>
                  <a:pt x="45" y="194"/>
                </a:lnTo>
                <a:lnTo>
                  <a:pt x="46" y="200"/>
                </a:lnTo>
                <a:lnTo>
                  <a:pt x="47" y="206"/>
                </a:lnTo>
                <a:lnTo>
                  <a:pt x="47" y="213"/>
                </a:lnTo>
                <a:lnTo>
                  <a:pt x="55" y="224"/>
                </a:lnTo>
                <a:lnTo>
                  <a:pt x="58" y="229"/>
                </a:lnTo>
                <a:lnTo>
                  <a:pt x="54" y="234"/>
                </a:lnTo>
                <a:lnTo>
                  <a:pt x="40" y="243"/>
                </a:lnTo>
                <a:lnTo>
                  <a:pt x="38" y="249"/>
                </a:lnTo>
                <a:lnTo>
                  <a:pt x="34" y="253"/>
                </a:lnTo>
                <a:lnTo>
                  <a:pt x="32" y="262"/>
                </a:lnTo>
                <a:lnTo>
                  <a:pt x="32" y="273"/>
                </a:lnTo>
                <a:lnTo>
                  <a:pt x="29" y="278"/>
                </a:lnTo>
                <a:lnTo>
                  <a:pt x="28" y="286"/>
                </a:lnTo>
                <a:lnTo>
                  <a:pt x="20" y="298"/>
                </a:lnTo>
                <a:lnTo>
                  <a:pt x="16" y="302"/>
                </a:lnTo>
                <a:lnTo>
                  <a:pt x="14" y="307"/>
                </a:lnTo>
                <a:lnTo>
                  <a:pt x="16" y="313"/>
                </a:lnTo>
                <a:lnTo>
                  <a:pt x="15" y="318"/>
                </a:lnTo>
                <a:lnTo>
                  <a:pt x="13" y="325"/>
                </a:lnTo>
                <a:lnTo>
                  <a:pt x="14" y="330"/>
                </a:lnTo>
                <a:lnTo>
                  <a:pt x="18" y="331"/>
                </a:lnTo>
                <a:lnTo>
                  <a:pt x="22" y="335"/>
                </a:lnTo>
                <a:lnTo>
                  <a:pt x="23" y="341"/>
                </a:lnTo>
                <a:lnTo>
                  <a:pt x="23" y="349"/>
                </a:lnTo>
                <a:lnTo>
                  <a:pt x="18" y="353"/>
                </a:lnTo>
                <a:lnTo>
                  <a:pt x="17" y="358"/>
                </a:lnTo>
                <a:lnTo>
                  <a:pt x="13" y="357"/>
                </a:lnTo>
                <a:lnTo>
                  <a:pt x="12" y="355"/>
                </a:lnTo>
                <a:lnTo>
                  <a:pt x="10" y="357"/>
                </a:lnTo>
                <a:lnTo>
                  <a:pt x="8" y="357"/>
                </a:lnTo>
                <a:lnTo>
                  <a:pt x="8" y="357"/>
                </a:lnTo>
                <a:lnTo>
                  <a:pt x="8" y="357"/>
                </a:lnTo>
                <a:close/>
              </a:path>
            </a:pathLst>
          </a:custGeom>
          <a:solidFill>
            <a:srgbClr val="E75936">
              <a:alpha val="12329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077F564C-79E9-4724-99B7-0649F5562C39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13">
        <xdr:nvSpPr>
          <xdr:cNvPr id="534" name="HI">
            <a:extLst>
              <a:ext uri="{FF2B5EF4-FFF2-40B4-BE49-F238E27FC236}">
                <a16:creationId xmlns:a16="http://schemas.microsoft.com/office/drawing/2014/main" id="{00000000-0008-0000-0100-000016020000}"/>
              </a:ext>
            </a:extLst>
          </xdr:cNvPr>
          <xdr:cNvSpPr>
            <a:spLocks/>
          </xdr:cNvSpPr>
        </xdr:nvSpPr>
        <xdr:spPr bwMode="auto">
          <a:xfrm>
            <a:off x="2467777" y="3835099"/>
            <a:ext cx="579586" cy="339418"/>
          </a:xfrm>
          <a:custGeom>
            <a:avLst/>
            <a:gdLst>
              <a:gd name="connsiteX0" fmla="*/ 378698 w 464211"/>
              <a:gd name="connsiteY0" fmla="*/ 174762 h 271183"/>
              <a:gd name="connsiteX1" fmla="*/ 415347 w 464211"/>
              <a:gd name="connsiteY1" fmla="*/ 180788 h 271183"/>
              <a:gd name="connsiteX2" fmla="*/ 445887 w 464211"/>
              <a:gd name="connsiteY2" fmla="*/ 186815 h 271183"/>
              <a:gd name="connsiteX3" fmla="*/ 464211 w 464211"/>
              <a:gd name="connsiteY3" fmla="*/ 216946 h 271183"/>
              <a:gd name="connsiteX4" fmla="*/ 464211 w 464211"/>
              <a:gd name="connsiteY4" fmla="*/ 235025 h 271183"/>
              <a:gd name="connsiteX5" fmla="*/ 439779 w 464211"/>
              <a:gd name="connsiteY5" fmla="*/ 271183 h 271183"/>
              <a:gd name="connsiteX6" fmla="*/ 403131 w 464211"/>
              <a:gd name="connsiteY6" fmla="*/ 265157 h 271183"/>
              <a:gd name="connsiteX7" fmla="*/ 397023 w 464211"/>
              <a:gd name="connsiteY7" fmla="*/ 247078 h 271183"/>
              <a:gd name="connsiteX8" fmla="*/ 378698 w 464211"/>
              <a:gd name="connsiteY8" fmla="*/ 247078 h 271183"/>
              <a:gd name="connsiteX9" fmla="*/ 354266 w 464211"/>
              <a:gd name="connsiteY9" fmla="*/ 222973 h 271183"/>
              <a:gd name="connsiteX10" fmla="*/ 354266 w 464211"/>
              <a:gd name="connsiteY10" fmla="*/ 210920 h 271183"/>
              <a:gd name="connsiteX11" fmla="*/ 280970 w 464211"/>
              <a:gd name="connsiteY11" fmla="*/ 126552 h 271183"/>
              <a:gd name="connsiteX12" fmla="*/ 299294 w 464211"/>
              <a:gd name="connsiteY12" fmla="*/ 144631 h 271183"/>
              <a:gd name="connsiteX13" fmla="*/ 287078 w 464211"/>
              <a:gd name="connsiteY13" fmla="*/ 144631 h 271183"/>
              <a:gd name="connsiteX14" fmla="*/ 342050 w 464211"/>
              <a:gd name="connsiteY14" fmla="*/ 108473 h 271183"/>
              <a:gd name="connsiteX15" fmla="*/ 366482 w 464211"/>
              <a:gd name="connsiteY15" fmla="*/ 108473 h 271183"/>
              <a:gd name="connsiteX16" fmla="*/ 372590 w 464211"/>
              <a:gd name="connsiteY16" fmla="*/ 120526 h 271183"/>
              <a:gd name="connsiteX17" fmla="*/ 366482 w 464211"/>
              <a:gd name="connsiteY17" fmla="*/ 138605 h 271183"/>
              <a:gd name="connsiteX18" fmla="*/ 354266 w 464211"/>
              <a:gd name="connsiteY18" fmla="*/ 144631 h 271183"/>
              <a:gd name="connsiteX19" fmla="*/ 311510 w 464211"/>
              <a:gd name="connsiteY19" fmla="*/ 144631 h 271183"/>
              <a:gd name="connsiteX20" fmla="*/ 317618 w 464211"/>
              <a:gd name="connsiteY20" fmla="*/ 120526 h 271183"/>
              <a:gd name="connsiteX21" fmla="*/ 274862 w 464211"/>
              <a:gd name="connsiteY21" fmla="*/ 84368 h 271183"/>
              <a:gd name="connsiteX22" fmla="*/ 287078 w 464211"/>
              <a:gd name="connsiteY22" fmla="*/ 84368 h 271183"/>
              <a:gd name="connsiteX23" fmla="*/ 305402 w 464211"/>
              <a:gd name="connsiteY23" fmla="*/ 90394 h 271183"/>
              <a:gd name="connsiteX24" fmla="*/ 305402 w 464211"/>
              <a:gd name="connsiteY24" fmla="*/ 102447 h 271183"/>
              <a:gd name="connsiteX25" fmla="*/ 287078 w 464211"/>
              <a:gd name="connsiteY25" fmla="*/ 102447 h 271183"/>
              <a:gd name="connsiteX26" fmla="*/ 274862 w 464211"/>
              <a:gd name="connsiteY26" fmla="*/ 96421 h 271183"/>
              <a:gd name="connsiteX27" fmla="*/ 140485 w 464211"/>
              <a:gd name="connsiteY27" fmla="*/ 48210 h 271183"/>
              <a:gd name="connsiteX28" fmla="*/ 183241 w 464211"/>
              <a:gd name="connsiteY28" fmla="*/ 48210 h 271183"/>
              <a:gd name="connsiteX29" fmla="*/ 183241 w 464211"/>
              <a:gd name="connsiteY29" fmla="*/ 60263 h 271183"/>
              <a:gd name="connsiteX30" fmla="*/ 195457 w 464211"/>
              <a:gd name="connsiteY30" fmla="*/ 60263 h 271183"/>
              <a:gd name="connsiteX31" fmla="*/ 195457 w 464211"/>
              <a:gd name="connsiteY31" fmla="*/ 84368 h 271183"/>
              <a:gd name="connsiteX32" fmla="*/ 177133 w 464211"/>
              <a:gd name="connsiteY32" fmla="*/ 84368 h 271183"/>
              <a:gd name="connsiteX33" fmla="*/ 140485 w 464211"/>
              <a:gd name="connsiteY33" fmla="*/ 78342 h 271183"/>
              <a:gd name="connsiteX34" fmla="*/ 0 w 464211"/>
              <a:gd name="connsiteY34" fmla="*/ 18079 h 271183"/>
              <a:gd name="connsiteX35" fmla="*/ 18324 w 464211"/>
              <a:gd name="connsiteY35" fmla="*/ 18079 h 271183"/>
              <a:gd name="connsiteX36" fmla="*/ 18324 w 464211"/>
              <a:gd name="connsiteY36" fmla="*/ 36158 h 271183"/>
              <a:gd name="connsiteX37" fmla="*/ 0 w 464211"/>
              <a:gd name="connsiteY37" fmla="*/ 36158 h 271183"/>
              <a:gd name="connsiteX38" fmla="*/ 42756 w 464211"/>
              <a:gd name="connsiteY38" fmla="*/ 0 h 271183"/>
              <a:gd name="connsiteX39" fmla="*/ 79404 w 464211"/>
              <a:gd name="connsiteY39" fmla="*/ 0 h 271183"/>
              <a:gd name="connsiteX40" fmla="*/ 73296 w 464211"/>
              <a:gd name="connsiteY40" fmla="*/ 30131 h 271183"/>
              <a:gd name="connsiteX41" fmla="*/ 42756 w 464211"/>
              <a:gd name="connsiteY41" fmla="*/ 30131 h 271183"/>
              <a:gd name="connsiteX42" fmla="*/ 36648 w 464211"/>
              <a:gd name="connsiteY42" fmla="*/ 18078 h 27118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</a:cxnLst>
            <a:rect l="l" t="t" r="r" b="b"/>
            <a:pathLst>
              <a:path w="464211" h="271183">
                <a:moveTo>
                  <a:pt x="378698" y="174762"/>
                </a:moveTo>
                <a:lnTo>
                  <a:pt x="415347" y="180788"/>
                </a:lnTo>
                <a:lnTo>
                  <a:pt x="445887" y="186815"/>
                </a:lnTo>
                <a:lnTo>
                  <a:pt x="464211" y="216946"/>
                </a:lnTo>
                <a:lnTo>
                  <a:pt x="464211" y="235025"/>
                </a:lnTo>
                <a:lnTo>
                  <a:pt x="439779" y="271183"/>
                </a:lnTo>
                <a:lnTo>
                  <a:pt x="403131" y="265157"/>
                </a:lnTo>
                <a:lnTo>
                  <a:pt x="397023" y="247078"/>
                </a:lnTo>
                <a:lnTo>
                  <a:pt x="378698" y="247078"/>
                </a:lnTo>
                <a:lnTo>
                  <a:pt x="354266" y="222973"/>
                </a:lnTo>
                <a:lnTo>
                  <a:pt x="354266" y="210920"/>
                </a:lnTo>
                <a:close/>
                <a:moveTo>
                  <a:pt x="280970" y="126552"/>
                </a:moveTo>
                <a:lnTo>
                  <a:pt x="299294" y="144631"/>
                </a:lnTo>
                <a:lnTo>
                  <a:pt x="287078" y="144631"/>
                </a:lnTo>
                <a:close/>
                <a:moveTo>
                  <a:pt x="342050" y="108473"/>
                </a:moveTo>
                <a:lnTo>
                  <a:pt x="366482" y="108473"/>
                </a:lnTo>
                <a:lnTo>
                  <a:pt x="372590" y="120526"/>
                </a:lnTo>
                <a:lnTo>
                  <a:pt x="366482" y="138605"/>
                </a:lnTo>
                <a:lnTo>
                  <a:pt x="354266" y="144631"/>
                </a:lnTo>
                <a:lnTo>
                  <a:pt x="311510" y="144631"/>
                </a:lnTo>
                <a:lnTo>
                  <a:pt x="317618" y="120526"/>
                </a:lnTo>
                <a:close/>
                <a:moveTo>
                  <a:pt x="274862" y="84368"/>
                </a:moveTo>
                <a:lnTo>
                  <a:pt x="287078" y="84368"/>
                </a:lnTo>
                <a:lnTo>
                  <a:pt x="305402" y="90394"/>
                </a:lnTo>
                <a:lnTo>
                  <a:pt x="305402" y="102447"/>
                </a:lnTo>
                <a:lnTo>
                  <a:pt x="287078" y="102447"/>
                </a:lnTo>
                <a:lnTo>
                  <a:pt x="274862" y="96421"/>
                </a:lnTo>
                <a:close/>
                <a:moveTo>
                  <a:pt x="140485" y="48210"/>
                </a:moveTo>
                <a:lnTo>
                  <a:pt x="183241" y="48210"/>
                </a:lnTo>
                <a:lnTo>
                  <a:pt x="183241" y="60263"/>
                </a:lnTo>
                <a:lnTo>
                  <a:pt x="195457" y="60263"/>
                </a:lnTo>
                <a:lnTo>
                  <a:pt x="195457" y="84368"/>
                </a:lnTo>
                <a:lnTo>
                  <a:pt x="177133" y="84368"/>
                </a:lnTo>
                <a:lnTo>
                  <a:pt x="140485" y="78342"/>
                </a:lnTo>
                <a:close/>
                <a:moveTo>
                  <a:pt x="0" y="18079"/>
                </a:moveTo>
                <a:lnTo>
                  <a:pt x="18324" y="18079"/>
                </a:lnTo>
                <a:lnTo>
                  <a:pt x="18324" y="36158"/>
                </a:lnTo>
                <a:lnTo>
                  <a:pt x="0" y="36158"/>
                </a:lnTo>
                <a:close/>
                <a:moveTo>
                  <a:pt x="42756" y="0"/>
                </a:moveTo>
                <a:lnTo>
                  <a:pt x="79404" y="0"/>
                </a:lnTo>
                <a:lnTo>
                  <a:pt x="73296" y="30131"/>
                </a:lnTo>
                <a:lnTo>
                  <a:pt x="42756" y="30131"/>
                </a:lnTo>
                <a:lnTo>
                  <a:pt x="36648" y="18078"/>
                </a:lnTo>
                <a:close/>
              </a:path>
            </a:pathLst>
          </a:custGeom>
          <a:solidFill>
            <a:srgbClr val="E75936">
              <a:alpha val="48364"/>
            </a:srgbClr>
          </a:solidFill>
          <a:ln w="9525" cap="flat" cmpd="sng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wrap="square">
            <a:noAutofit/>
          </a:bodyPr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093821B4-3F1E-4F31-9217-F0D4D90E293B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39">
        <xdr:nvSpPr>
          <xdr:cNvPr id="441" name="OR">
            <a:extLst>
              <a:ext uri="{FF2B5EF4-FFF2-40B4-BE49-F238E27FC236}">
                <a16:creationId xmlns:a16="http://schemas.microsoft.com/office/drawing/2014/main" id="{00000000-0008-0000-0100-0000B9010000}"/>
              </a:ext>
            </a:extLst>
          </xdr:cNvPr>
          <xdr:cNvSpPr>
            <a:spLocks/>
          </xdr:cNvSpPr>
        </xdr:nvSpPr>
        <xdr:spPr bwMode="auto">
          <a:xfrm>
            <a:off x="1574110" y="1865926"/>
            <a:ext cx="662268" cy="537322"/>
          </a:xfrm>
          <a:custGeom>
            <a:avLst/>
            <a:gdLst>
              <a:gd name="T0" fmla="*/ 112 w 412"/>
              <a:gd name="T1" fmla="*/ 384 h 456"/>
              <a:gd name="T2" fmla="*/ 338 w 412"/>
              <a:gd name="T3" fmla="*/ 456 h 456"/>
              <a:gd name="T4" fmla="*/ 366 w 412"/>
              <a:gd name="T5" fmla="*/ 297 h 456"/>
              <a:gd name="T6" fmla="*/ 373 w 412"/>
              <a:gd name="T7" fmla="*/ 273 h 456"/>
              <a:gd name="T8" fmla="*/ 363 w 412"/>
              <a:gd name="T9" fmla="*/ 263 h 456"/>
              <a:gd name="T10" fmla="*/ 368 w 412"/>
              <a:gd name="T11" fmla="*/ 236 h 456"/>
              <a:gd name="T12" fmla="*/ 384 w 412"/>
              <a:gd name="T13" fmla="*/ 215 h 456"/>
              <a:gd name="T14" fmla="*/ 394 w 412"/>
              <a:gd name="T15" fmla="*/ 193 h 456"/>
              <a:gd name="T16" fmla="*/ 412 w 412"/>
              <a:gd name="T17" fmla="*/ 157 h 456"/>
              <a:gd name="T18" fmla="*/ 401 w 412"/>
              <a:gd name="T19" fmla="*/ 132 h 456"/>
              <a:gd name="T20" fmla="*/ 346 w 412"/>
              <a:gd name="T21" fmla="*/ 105 h 456"/>
              <a:gd name="T22" fmla="*/ 296 w 412"/>
              <a:gd name="T23" fmla="*/ 95 h 456"/>
              <a:gd name="T24" fmla="*/ 279 w 412"/>
              <a:gd name="T25" fmla="*/ 91 h 456"/>
              <a:gd name="T26" fmla="*/ 254 w 412"/>
              <a:gd name="T27" fmla="*/ 95 h 456"/>
              <a:gd name="T28" fmla="*/ 237 w 412"/>
              <a:gd name="T29" fmla="*/ 96 h 456"/>
              <a:gd name="T30" fmla="*/ 216 w 412"/>
              <a:gd name="T31" fmla="*/ 93 h 456"/>
              <a:gd name="T32" fmla="*/ 203 w 412"/>
              <a:gd name="T33" fmla="*/ 87 h 456"/>
              <a:gd name="T34" fmla="*/ 190 w 412"/>
              <a:gd name="T35" fmla="*/ 79 h 456"/>
              <a:gd name="T36" fmla="*/ 175 w 412"/>
              <a:gd name="T37" fmla="*/ 76 h 456"/>
              <a:gd name="T38" fmla="*/ 158 w 412"/>
              <a:gd name="T39" fmla="*/ 81 h 456"/>
              <a:gd name="T40" fmla="*/ 148 w 412"/>
              <a:gd name="T41" fmla="*/ 76 h 456"/>
              <a:gd name="T42" fmla="*/ 136 w 412"/>
              <a:gd name="T43" fmla="*/ 65 h 456"/>
              <a:gd name="T44" fmla="*/ 132 w 412"/>
              <a:gd name="T45" fmla="*/ 22 h 456"/>
              <a:gd name="T46" fmla="*/ 122 w 412"/>
              <a:gd name="T47" fmla="*/ 16 h 456"/>
              <a:gd name="T48" fmla="*/ 115 w 412"/>
              <a:gd name="T49" fmla="*/ 8 h 456"/>
              <a:gd name="T50" fmla="*/ 103 w 412"/>
              <a:gd name="T51" fmla="*/ 6 h 456"/>
              <a:gd name="T52" fmla="*/ 98 w 412"/>
              <a:gd name="T53" fmla="*/ 4 h 456"/>
              <a:gd name="T54" fmla="*/ 98 w 412"/>
              <a:gd name="T55" fmla="*/ 6 h 456"/>
              <a:gd name="T56" fmla="*/ 91 w 412"/>
              <a:gd name="T57" fmla="*/ 18 h 456"/>
              <a:gd name="T58" fmla="*/ 87 w 412"/>
              <a:gd name="T59" fmla="*/ 30 h 456"/>
              <a:gd name="T60" fmla="*/ 87 w 412"/>
              <a:gd name="T61" fmla="*/ 44 h 456"/>
              <a:gd name="T62" fmla="*/ 84 w 412"/>
              <a:gd name="T63" fmla="*/ 60 h 456"/>
              <a:gd name="T64" fmla="*/ 77 w 412"/>
              <a:gd name="T65" fmla="*/ 68 h 456"/>
              <a:gd name="T66" fmla="*/ 74 w 412"/>
              <a:gd name="T67" fmla="*/ 85 h 456"/>
              <a:gd name="T68" fmla="*/ 62 w 412"/>
              <a:gd name="T69" fmla="*/ 116 h 456"/>
              <a:gd name="T70" fmla="*/ 58 w 412"/>
              <a:gd name="T71" fmla="*/ 144 h 456"/>
              <a:gd name="T72" fmla="*/ 52 w 412"/>
              <a:gd name="T73" fmla="*/ 153 h 456"/>
              <a:gd name="T74" fmla="*/ 39 w 412"/>
              <a:gd name="T75" fmla="*/ 199 h 456"/>
              <a:gd name="T76" fmla="*/ 43 w 412"/>
              <a:gd name="T77" fmla="*/ 205 h 456"/>
              <a:gd name="T78" fmla="*/ 30 w 412"/>
              <a:gd name="T79" fmla="*/ 220 h 456"/>
              <a:gd name="T80" fmla="*/ 30 w 412"/>
              <a:gd name="T81" fmla="*/ 225 h 456"/>
              <a:gd name="T82" fmla="*/ 31 w 412"/>
              <a:gd name="T83" fmla="*/ 231 h 456"/>
              <a:gd name="T84" fmla="*/ 26 w 412"/>
              <a:gd name="T85" fmla="*/ 229 h 456"/>
              <a:gd name="T86" fmla="*/ 15 w 412"/>
              <a:gd name="T87" fmla="*/ 252 h 456"/>
              <a:gd name="T88" fmla="*/ 8 w 412"/>
              <a:gd name="T89" fmla="*/ 289 h 456"/>
              <a:gd name="T90" fmla="*/ 3 w 412"/>
              <a:gd name="T91" fmla="*/ 305 h 456"/>
              <a:gd name="T92" fmla="*/ 5 w 412"/>
              <a:gd name="T93" fmla="*/ 345 h 4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412" h="456">
                <a:moveTo>
                  <a:pt x="5" y="345"/>
                </a:moveTo>
                <a:lnTo>
                  <a:pt x="7" y="347"/>
                </a:lnTo>
                <a:lnTo>
                  <a:pt x="112" y="384"/>
                </a:lnTo>
                <a:lnTo>
                  <a:pt x="199" y="415"/>
                </a:lnTo>
                <a:lnTo>
                  <a:pt x="281" y="440"/>
                </a:lnTo>
                <a:lnTo>
                  <a:pt x="338" y="456"/>
                </a:lnTo>
                <a:lnTo>
                  <a:pt x="362" y="303"/>
                </a:lnTo>
                <a:lnTo>
                  <a:pt x="364" y="299"/>
                </a:lnTo>
                <a:lnTo>
                  <a:pt x="366" y="297"/>
                </a:lnTo>
                <a:lnTo>
                  <a:pt x="370" y="287"/>
                </a:lnTo>
                <a:lnTo>
                  <a:pt x="370" y="279"/>
                </a:lnTo>
                <a:lnTo>
                  <a:pt x="373" y="273"/>
                </a:lnTo>
                <a:lnTo>
                  <a:pt x="371" y="268"/>
                </a:lnTo>
                <a:lnTo>
                  <a:pt x="367" y="264"/>
                </a:lnTo>
                <a:lnTo>
                  <a:pt x="363" y="263"/>
                </a:lnTo>
                <a:lnTo>
                  <a:pt x="361" y="259"/>
                </a:lnTo>
                <a:lnTo>
                  <a:pt x="364" y="241"/>
                </a:lnTo>
                <a:lnTo>
                  <a:pt x="368" y="236"/>
                </a:lnTo>
                <a:lnTo>
                  <a:pt x="373" y="225"/>
                </a:lnTo>
                <a:lnTo>
                  <a:pt x="380" y="220"/>
                </a:lnTo>
                <a:lnTo>
                  <a:pt x="384" y="215"/>
                </a:lnTo>
                <a:lnTo>
                  <a:pt x="386" y="209"/>
                </a:lnTo>
                <a:lnTo>
                  <a:pt x="386" y="204"/>
                </a:lnTo>
                <a:lnTo>
                  <a:pt x="394" y="193"/>
                </a:lnTo>
                <a:lnTo>
                  <a:pt x="400" y="176"/>
                </a:lnTo>
                <a:lnTo>
                  <a:pt x="409" y="163"/>
                </a:lnTo>
                <a:lnTo>
                  <a:pt x="412" y="157"/>
                </a:lnTo>
                <a:lnTo>
                  <a:pt x="410" y="145"/>
                </a:lnTo>
                <a:lnTo>
                  <a:pt x="402" y="136"/>
                </a:lnTo>
                <a:lnTo>
                  <a:pt x="401" y="132"/>
                </a:lnTo>
                <a:lnTo>
                  <a:pt x="399" y="127"/>
                </a:lnTo>
                <a:lnTo>
                  <a:pt x="398" y="119"/>
                </a:lnTo>
                <a:lnTo>
                  <a:pt x="346" y="105"/>
                </a:lnTo>
                <a:lnTo>
                  <a:pt x="305" y="92"/>
                </a:lnTo>
                <a:lnTo>
                  <a:pt x="301" y="95"/>
                </a:lnTo>
                <a:lnTo>
                  <a:pt x="296" y="95"/>
                </a:lnTo>
                <a:lnTo>
                  <a:pt x="292" y="92"/>
                </a:lnTo>
                <a:lnTo>
                  <a:pt x="282" y="92"/>
                </a:lnTo>
                <a:lnTo>
                  <a:pt x="279" y="91"/>
                </a:lnTo>
                <a:lnTo>
                  <a:pt x="275" y="93"/>
                </a:lnTo>
                <a:lnTo>
                  <a:pt x="262" y="93"/>
                </a:lnTo>
                <a:lnTo>
                  <a:pt x="254" y="95"/>
                </a:lnTo>
                <a:lnTo>
                  <a:pt x="246" y="97"/>
                </a:lnTo>
                <a:lnTo>
                  <a:pt x="241" y="97"/>
                </a:lnTo>
                <a:lnTo>
                  <a:pt x="237" y="96"/>
                </a:lnTo>
                <a:lnTo>
                  <a:pt x="233" y="92"/>
                </a:lnTo>
                <a:lnTo>
                  <a:pt x="229" y="89"/>
                </a:lnTo>
                <a:lnTo>
                  <a:pt x="216" y="93"/>
                </a:lnTo>
                <a:lnTo>
                  <a:pt x="212" y="92"/>
                </a:lnTo>
                <a:lnTo>
                  <a:pt x="204" y="92"/>
                </a:lnTo>
                <a:lnTo>
                  <a:pt x="203" y="87"/>
                </a:lnTo>
                <a:lnTo>
                  <a:pt x="199" y="83"/>
                </a:lnTo>
                <a:lnTo>
                  <a:pt x="195" y="81"/>
                </a:lnTo>
                <a:lnTo>
                  <a:pt x="190" y="79"/>
                </a:lnTo>
                <a:lnTo>
                  <a:pt x="183" y="77"/>
                </a:lnTo>
                <a:lnTo>
                  <a:pt x="179" y="76"/>
                </a:lnTo>
                <a:lnTo>
                  <a:pt x="175" y="76"/>
                </a:lnTo>
                <a:lnTo>
                  <a:pt x="171" y="79"/>
                </a:lnTo>
                <a:lnTo>
                  <a:pt x="167" y="80"/>
                </a:lnTo>
                <a:lnTo>
                  <a:pt x="158" y="81"/>
                </a:lnTo>
                <a:lnTo>
                  <a:pt x="154" y="80"/>
                </a:lnTo>
                <a:lnTo>
                  <a:pt x="150" y="76"/>
                </a:lnTo>
                <a:lnTo>
                  <a:pt x="148" y="76"/>
                </a:lnTo>
                <a:lnTo>
                  <a:pt x="144" y="72"/>
                </a:lnTo>
                <a:lnTo>
                  <a:pt x="137" y="68"/>
                </a:lnTo>
                <a:lnTo>
                  <a:pt x="136" y="65"/>
                </a:lnTo>
                <a:lnTo>
                  <a:pt x="138" y="38"/>
                </a:lnTo>
                <a:lnTo>
                  <a:pt x="136" y="27"/>
                </a:lnTo>
                <a:lnTo>
                  <a:pt x="132" y="22"/>
                </a:lnTo>
                <a:lnTo>
                  <a:pt x="129" y="16"/>
                </a:lnTo>
                <a:lnTo>
                  <a:pt x="126" y="14"/>
                </a:lnTo>
                <a:lnTo>
                  <a:pt x="122" y="16"/>
                </a:lnTo>
                <a:lnTo>
                  <a:pt x="118" y="14"/>
                </a:lnTo>
                <a:lnTo>
                  <a:pt x="117" y="14"/>
                </a:lnTo>
                <a:lnTo>
                  <a:pt x="115" y="8"/>
                </a:lnTo>
                <a:lnTo>
                  <a:pt x="111" y="4"/>
                </a:lnTo>
                <a:lnTo>
                  <a:pt x="106" y="6"/>
                </a:lnTo>
                <a:lnTo>
                  <a:pt x="103" y="6"/>
                </a:lnTo>
                <a:lnTo>
                  <a:pt x="101" y="3"/>
                </a:lnTo>
                <a:lnTo>
                  <a:pt x="98" y="3"/>
                </a:lnTo>
                <a:lnTo>
                  <a:pt x="98" y="4"/>
                </a:lnTo>
                <a:lnTo>
                  <a:pt x="99" y="7"/>
                </a:lnTo>
                <a:lnTo>
                  <a:pt x="98" y="7"/>
                </a:lnTo>
                <a:lnTo>
                  <a:pt x="98" y="6"/>
                </a:lnTo>
                <a:lnTo>
                  <a:pt x="94" y="0"/>
                </a:lnTo>
                <a:lnTo>
                  <a:pt x="92" y="6"/>
                </a:lnTo>
                <a:lnTo>
                  <a:pt x="91" y="18"/>
                </a:lnTo>
                <a:lnTo>
                  <a:pt x="87" y="23"/>
                </a:lnTo>
                <a:lnTo>
                  <a:pt x="87" y="24"/>
                </a:lnTo>
                <a:lnTo>
                  <a:pt x="87" y="30"/>
                </a:lnTo>
                <a:lnTo>
                  <a:pt x="85" y="35"/>
                </a:lnTo>
                <a:lnTo>
                  <a:pt x="85" y="40"/>
                </a:lnTo>
                <a:lnTo>
                  <a:pt x="87" y="44"/>
                </a:lnTo>
                <a:lnTo>
                  <a:pt x="83" y="50"/>
                </a:lnTo>
                <a:lnTo>
                  <a:pt x="81" y="55"/>
                </a:lnTo>
                <a:lnTo>
                  <a:pt x="84" y="60"/>
                </a:lnTo>
                <a:lnTo>
                  <a:pt x="80" y="59"/>
                </a:lnTo>
                <a:lnTo>
                  <a:pt x="79" y="63"/>
                </a:lnTo>
                <a:lnTo>
                  <a:pt x="77" y="68"/>
                </a:lnTo>
                <a:lnTo>
                  <a:pt x="77" y="73"/>
                </a:lnTo>
                <a:lnTo>
                  <a:pt x="75" y="80"/>
                </a:lnTo>
                <a:lnTo>
                  <a:pt x="74" y="85"/>
                </a:lnTo>
                <a:lnTo>
                  <a:pt x="70" y="95"/>
                </a:lnTo>
                <a:lnTo>
                  <a:pt x="69" y="100"/>
                </a:lnTo>
                <a:lnTo>
                  <a:pt x="62" y="116"/>
                </a:lnTo>
                <a:lnTo>
                  <a:pt x="61" y="127"/>
                </a:lnTo>
                <a:lnTo>
                  <a:pt x="57" y="137"/>
                </a:lnTo>
                <a:lnTo>
                  <a:pt x="58" y="144"/>
                </a:lnTo>
                <a:lnTo>
                  <a:pt x="57" y="145"/>
                </a:lnTo>
                <a:lnTo>
                  <a:pt x="55" y="148"/>
                </a:lnTo>
                <a:lnTo>
                  <a:pt x="52" y="153"/>
                </a:lnTo>
                <a:lnTo>
                  <a:pt x="50" y="165"/>
                </a:lnTo>
                <a:lnTo>
                  <a:pt x="42" y="193"/>
                </a:lnTo>
                <a:lnTo>
                  <a:pt x="39" y="199"/>
                </a:lnTo>
                <a:lnTo>
                  <a:pt x="38" y="204"/>
                </a:lnTo>
                <a:lnTo>
                  <a:pt x="42" y="203"/>
                </a:lnTo>
                <a:lnTo>
                  <a:pt x="43" y="205"/>
                </a:lnTo>
                <a:lnTo>
                  <a:pt x="38" y="205"/>
                </a:lnTo>
                <a:lnTo>
                  <a:pt x="35" y="209"/>
                </a:lnTo>
                <a:lnTo>
                  <a:pt x="30" y="220"/>
                </a:lnTo>
                <a:lnTo>
                  <a:pt x="28" y="225"/>
                </a:lnTo>
                <a:lnTo>
                  <a:pt x="30" y="227"/>
                </a:lnTo>
                <a:lnTo>
                  <a:pt x="30" y="225"/>
                </a:lnTo>
                <a:lnTo>
                  <a:pt x="30" y="227"/>
                </a:lnTo>
                <a:lnTo>
                  <a:pt x="32" y="227"/>
                </a:lnTo>
                <a:lnTo>
                  <a:pt x="31" y="231"/>
                </a:lnTo>
                <a:lnTo>
                  <a:pt x="30" y="227"/>
                </a:lnTo>
                <a:lnTo>
                  <a:pt x="30" y="227"/>
                </a:lnTo>
                <a:lnTo>
                  <a:pt x="26" y="229"/>
                </a:lnTo>
                <a:lnTo>
                  <a:pt x="24" y="236"/>
                </a:lnTo>
                <a:lnTo>
                  <a:pt x="23" y="231"/>
                </a:lnTo>
                <a:lnTo>
                  <a:pt x="15" y="252"/>
                </a:lnTo>
                <a:lnTo>
                  <a:pt x="6" y="267"/>
                </a:lnTo>
                <a:lnTo>
                  <a:pt x="6" y="277"/>
                </a:lnTo>
                <a:lnTo>
                  <a:pt x="8" y="289"/>
                </a:lnTo>
                <a:lnTo>
                  <a:pt x="7" y="295"/>
                </a:lnTo>
                <a:lnTo>
                  <a:pt x="3" y="300"/>
                </a:lnTo>
                <a:lnTo>
                  <a:pt x="3" y="305"/>
                </a:lnTo>
                <a:lnTo>
                  <a:pt x="0" y="312"/>
                </a:lnTo>
                <a:lnTo>
                  <a:pt x="1" y="335"/>
                </a:lnTo>
                <a:lnTo>
                  <a:pt x="5" y="345"/>
                </a:lnTo>
                <a:lnTo>
                  <a:pt x="5" y="345"/>
                </a:lnTo>
                <a:lnTo>
                  <a:pt x="5" y="345"/>
                </a:lnTo>
                <a:close/>
              </a:path>
            </a:pathLst>
          </a:custGeom>
          <a:solidFill>
            <a:srgbClr val="E75936">
              <a:alpha val="62470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7F536CB8-8AFD-47F0-B41A-106F34353E3A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14">
        <xdr:nvSpPr>
          <xdr:cNvPr id="447" name="ID">
            <a:extLst>
              <a:ext uri="{FF2B5EF4-FFF2-40B4-BE49-F238E27FC236}">
                <a16:creationId xmlns:a16="http://schemas.microsoft.com/office/drawing/2014/main" id="{00000000-0008-0000-0100-0000BF010000}"/>
              </a:ext>
            </a:extLst>
          </xdr:cNvPr>
          <xdr:cNvSpPr>
            <a:spLocks/>
          </xdr:cNvSpPr>
        </xdr:nvSpPr>
        <xdr:spPr bwMode="auto">
          <a:xfrm>
            <a:off x="2112553" y="1709043"/>
            <a:ext cx="500342" cy="774887"/>
          </a:xfrm>
          <a:custGeom>
            <a:avLst/>
            <a:gdLst>
              <a:gd name="T0" fmla="*/ 76 w 305"/>
              <a:gd name="T1" fmla="*/ 610 h 656"/>
              <a:gd name="T2" fmla="*/ 158 w 305"/>
              <a:gd name="T3" fmla="*/ 630 h 656"/>
              <a:gd name="T4" fmla="*/ 281 w 305"/>
              <a:gd name="T5" fmla="*/ 656 h 656"/>
              <a:gd name="T6" fmla="*/ 301 w 305"/>
              <a:gd name="T7" fmla="*/ 437 h 656"/>
              <a:gd name="T8" fmla="*/ 295 w 305"/>
              <a:gd name="T9" fmla="*/ 421 h 656"/>
              <a:gd name="T10" fmla="*/ 285 w 305"/>
              <a:gd name="T11" fmla="*/ 430 h 656"/>
              <a:gd name="T12" fmla="*/ 277 w 305"/>
              <a:gd name="T13" fmla="*/ 430 h 656"/>
              <a:gd name="T14" fmla="*/ 268 w 305"/>
              <a:gd name="T15" fmla="*/ 429 h 656"/>
              <a:gd name="T16" fmla="*/ 252 w 305"/>
              <a:gd name="T17" fmla="*/ 425 h 656"/>
              <a:gd name="T18" fmla="*/ 245 w 305"/>
              <a:gd name="T19" fmla="*/ 430 h 656"/>
              <a:gd name="T20" fmla="*/ 237 w 305"/>
              <a:gd name="T21" fmla="*/ 429 h 656"/>
              <a:gd name="T22" fmla="*/ 225 w 305"/>
              <a:gd name="T23" fmla="*/ 429 h 656"/>
              <a:gd name="T24" fmla="*/ 222 w 305"/>
              <a:gd name="T25" fmla="*/ 436 h 656"/>
              <a:gd name="T26" fmla="*/ 216 w 305"/>
              <a:gd name="T27" fmla="*/ 425 h 656"/>
              <a:gd name="T28" fmla="*/ 214 w 305"/>
              <a:gd name="T29" fmla="*/ 414 h 656"/>
              <a:gd name="T30" fmla="*/ 213 w 305"/>
              <a:gd name="T31" fmla="*/ 398 h 656"/>
              <a:gd name="T32" fmla="*/ 204 w 305"/>
              <a:gd name="T33" fmla="*/ 396 h 656"/>
              <a:gd name="T34" fmla="*/ 200 w 305"/>
              <a:gd name="T35" fmla="*/ 384 h 656"/>
              <a:gd name="T36" fmla="*/ 201 w 305"/>
              <a:gd name="T37" fmla="*/ 372 h 656"/>
              <a:gd name="T38" fmla="*/ 197 w 305"/>
              <a:gd name="T39" fmla="*/ 360 h 656"/>
              <a:gd name="T40" fmla="*/ 192 w 305"/>
              <a:gd name="T41" fmla="*/ 334 h 656"/>
              <a:gd name="T42" fmla="*/ 188 w 305"/>
              <a:gd name="T43" fmla="*/ 317 h 656"/>
              <a:gd name="T44" fmla="*/ 171 w 305"/>
              <a:gd name="T45" fmla="*/ 325 h 656"/>
              <a:gd name="T46" fmla="*/ 163 w 305"/>
              <a:gd name="T47" fmla="*/ 318 h 656"/>
              <a:gd name="T48" fmla="*/ 159 w 305"/>
              <a:gd name="T49" fmla="*/ 310 h 656"/>
              <a:gd name="T50" fmla="*/ 161 w 305"/>
              <a:gd name="T51" fmla="*/ 300 h 656"/>
              <a:gd name="T52" fmla="*/ 168 w 305"/>
              <a:gd name="T53" fmla="*/ 293 h 656"/>
              <a:gd name="T54" fmla="*/ 167 w 305"/>
              <a:gd name="T55" fmla="*/ 277 h 656"/>
              <a:gd name="T56" fmla="*/ 168 w 305"/>
              <a:gd name="T57" fmla="*/ 265 h 656"/>
              <a:gd name="T58" fmla="*/ 172 w 305"/>
              <a:gd name="T59" fmla="*/ 254 h 656"/>
              <a:gd name="T60" fmla="*/ 181 w 305"/>
              <a:gd name="T61" fmla="*/ 226 h 656"/>
              <a:gd name="T62" fmla="*/ 171 w 305"/>
              <a:gd name="T63" fmla="*/ 225 h 656"/>
              <a:gd name="T64" fmla="*/ 168 w 305"/>
              <a:gd name="T65" fmla="*/ 217 h 656"/>
              <a:gd name="T66" fmla="*/ 162 w 305"/>
              <a:gd name="T67" fmla="*/ 210 h 656"/>
              <a:gd name="T68" fmla="*/ 157 w 305"/>
              <a:gd name="T69" fmla="*/ 200 h 656"/>
              <a:gd name="T70" fmla="*/ 155 w 305"/>
              <a:gd name="T71" fmla="*/ 192 h 656"/>
              <a:gd name="T72" fmla="*/ 148 w 305"/>
              <a:gd name="T73" fmla="*/ 176 h 656"/>
              <a:gd name="T74" fmla="*/ 144 w 305"/>
              <a:gd name="T75" fmla="*/ 165 h 656"/>
              <a:gd name="T76" fmla="*/ 136 w 305"/>
              <a:gd name="T77" fmla="*/ 155 h 656"/>
              <a:gd name="T78" fmla="*/ 134 w 305"/>
              <a:gd name="T79" fmla="*/ 143 h 656"/>
              <a:gd name="T80" fmla="*/ 133 w 305"/>
              <a:gd name="T81" fmla="*/ 132 h 656"/>
              <a:gd name="T82" fmla="*/ 129 w 305"/>
              <a:gd name="T83" fmla="*/ 115 h 656"/>
              <a:gd name="T84" fmla="*/ 122 w 305"/>
              <a:gd name="T85" fmla="*/ 96 h 656"/>
              <a:gd name="T86" fmla="*/ 135 w 305"/>
              <a:gd name="T87" fmla="*/ 11 h 656"/>
              <a:gd name="T88" fmla="*/ 93 w 305"/>
              <a:gd name="T89" fmla="*/ 0 h 656"/>
              <a:gd name="T90" fmla="*/ 61 w 305"/>
              <a:gd name="T91" fmla="*/ 196 h 656"/>
              <a:gd name="T92" fmla="*/ 58 w 305"/>
              <a:gd name="T93" fmla="*/ 218 h 656"/>
              <a:gd name="T94" fmla="*/ 59 w 305"/>
              <a:gd name="T95" fmla="*/ 246 h 656"/>
              <a:gd name="T96" fmla="*/ 61 w 305"/>
              <a:gd name="T97" fmla="*/ 260 h 656"/>
              <a:gd name="T98" fmla="*/ 64 w 305"/>
              <a:gd name="T99" fmla="*/ 269 h 656"/>
              <a:gd name="T100" fmla="*/ 74 w 305"/>
              <a:gd name="T101" fmla="*/ 290 h 656"/>
              <a:gd name="T102" fmla="*/ 62 w 305"/>
              <a:gd name="T103" fmla="*/ 309 h 656"/>
              <a:gd name="T104" fmla="*/ 48 w 305"/>
              <a:gd name="T105" fmla="*/ 337 h 656"/>
              <a:gd name="T106" fmla="*/ 46 w 305"/>
              <a:gd name="T107" fmla="*/ 348 h 656"/>
              <a:gd name="T108" fmla="*/ 35 w 305"/>
              <a:gd name="T109" fmla="*/ 358 h 656"/>
              <a:gd name="T110" fmla="*/ 26 w 305"/>
              <a:gd name="T111" fmla="*/ 374 h 656"/>
              <a:gd name="T112" fmla="*/ 25 w 305"/>
              <a:gd name="T113" fmla="*/ 396 h 656"/>
              <a:gd name="T114" fmla="*/ 33 w 305"/>
              <a:gd name="T115" fmla="*/ 401 h 656"/>
              <a:gd name="T116" fmla="*/ 32 w 305"/>
              <a:gd name="T117" fmla="*/ 412 h 656"/>
              <a:gd name="T118" fmla="*/ 28 w 305"/>
              <a:gd name="T119" fmla="*/ 430 h 656"/>
              <a:gd name="T120" fmla="*/ 24 w 305"/>
              <a:gd name="T121" fmla="*/ 436 h 656"/>
              <a:gd name="T122" fmla="*/ 0 w 305"/>
              <a:gd name="T123" fmla="*/ 589 h 6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305" h="656">
                <a:moveTo>
                  <a:pt x="0" y="589"/>
                </a:moveTo>
                <a:lnTo>
                  <a:pt x="76" y="610"/>
                </a:lnTo>
                <a:lnTo>
                  <a:pt x="140" y="625"/>
                </a:lnTo>
                <a:lnTo>
                  <a:pt x="158" y="630"/>
                </a:lnTo>
                <a:lnTo>
                  <a:pt x="225" y="645"/>
                </a:lnTo>
                <a:lnTo>
                  <a:pt x="281" y="656"/>
                </a:lnTo>
                <a:lnTo>
                  <a:pt x="305" y="442"/>
                </a:lnTo>
                <a:lnTo>
                  <a:pt x="301" y="437"/>
                </a:lnTo>
                <a:lnTo>
                  <a:pt x="298" y="430"/>
                </a:lnTo>
                <a:lnTo>
                  <a:pt x="295" y="421"/>
                </a:lnTo>
                <a:lnTo>
                  <a:pt x="292" y="420"/>
                </a:lnTo>
                <a:lnTo>
                  <a:pt x="285" y="430"/>
                </a:lnTo>
                <a:lnTo>
                  <a:pt x="285" y="434"/>
                </a:lnTo>
                <a:lnTo>
                  <a:pt x="277" y="430"/>
                </a:lnTo>
                <a:lnTo>
                  <a:pt x="273" y="432"/>
                </a:lnTo>
                <a:lnTo>
                  <a:pt x="268" y="429"/>
                </a:lnTo>
                <a:lnTo>
                  <a:pt x="260" y="429"/>
                </a:lnTo>
                <a:lnTo>
                  <a:pt x="252" y="425"/>
                </a:lnTo>
                <a:lnTo>
                  <a:pt x="249" y="426"/>
                </a:lnTo>
                <a:lnTo>
                  <a:pt x="245" y="430"/>
                </a:lnTo>
                <a:lnTo>
                  <a:pt x="241" y="430"/>
                </a:lnTo>
                <a:lnTo>
                  <a:pt x="237" y="429"/>
                </a:lnTo>
                <a:lnTo>
                  <a:pt x="229" y="426"/>
                </a:lnTo>
                <a:lnTo>
                  <a:pt x="225" y="429"/>
                </a:lnTo>
                <a:lnTo>
                  <a:pt x="224" y="434"/>
                </a:lnTo>
                <a:lnTo>
                  <a:pt x="222" y="436"/>
                </a:lnTo>
                <a:lnTo>
                  <a:pt x="218" y="430"/>
                </a:lnTo>
                <a:lnTo>
                  <a:pt x="216" y="425"/>
                </a:lnTo>
                <a:lnTo>
                  <a:pt x="217" y="420"/>
                </a:lnTo>
                <a:lnTo>
                  <a:pt x="214" y="414"/>
                </a:lnTo>
                <a:lnTo>
                  <a:pt x="215" y="409"/>
                </a:lnTo>
                <a:lnTo>
                  <a:pt x="213" y="398"/>
                </a:lnTo>
                <a:lnTo>
                  <a:pt x="209" y="393"/>
                </a:lnTo>
                <a:lnTo>
                  <a:pt x="204" y="396"/>
                </a:lnTo>
                <a:lnTo>
                  <a:pt x="201" y="390"/>
                </a:lnTo>
                <a:lnTo>
                  <a:pt x="200" y="384"/>
                </a:lnTo>
                <a:lnTo>
                  <a:pt x="202" y="377"/>
                </a:lnTo>
                <a:lnTo>
                  <a:pt x="201" y="372"/>
                </a:lnTo>
                <a:lnTo>
                  <a:pt x="200" y="365"/>
                </a:lnTo>
                <a:lnTo>
                  <a:pt x="197" y="360"/>
                </a:lnTo>
                <a:lnTo>
                  <a:pt x="194" y="349"/>
                </a:lnTo>
                <a:lnTo>
                  <a:pt x="192" y="334"/>
                </a:lnTo>
                <a:lnTo>
                  <a:pt x="192" y="322"/>
                </a:lnTo>
                <a:lnTo>
                  <a:pt x="188" y="317"/>
                </a:lnTo>
                <a:lnTo>
                  <a:pt x="187" y="313"/>
                </a:lnTo>
                <a:lnTo>
                  <a:pt x="171" y="325"/>
                </a:lnTo>
                <a:lnTo>
                  <a:pt x="167" y="326"/>
                </a:lnTo>
                <a:lnTo>
                  <a:pt x="163" y="318"/>
                </a:lnTo>
                <a:lnTo>
                  <a:pt x="158" y="317"/>
                </a:lnTo>
                <a:lnTo>
                  <a:pt x="159" y="310"/>
                </a:lnTo>
                <a:lnTo>
                  <a:pt x="162" y="305"/>
                </a:lnTo>
                <a:lnTo>
                  <a:pt x="161" y="300"/>
                </a:lnTo>
                <a:lnTo>
                  <a:pt x="164" y="294"/>
                </a:lnTo>
                <a:lnTo>
                  <a:pt x="168" y="293"/>
                </a:lnTo>
                <a:lnTo>
                  <a:pt x="169" y="282"/>
                </a:lnTo>
                <a:lnTo>
                  <a:pt x="167" y="277"/>
                </a:lnTo>
                <a:lnTo>
                  <a:pt x="169" y="270"/>
                </a:lnTo>
                <a:lnTo>
                  <a:pt x="168" y="265"/>
                </a:lnTo>
                <a:lnTo>
                  <a:pt x="171" y="260"/>
                </a:lnTo>
                <a:lnTo>
                  <a:pt x="172" y="254"/>
                </a:lnTo>
                <a:lnTo>
                  <a:pt x="176" y="244"/>
                </a:lnTo>
                <a:lnTo>
                  <a:pt x="181" y="226"/>
                </a:lnTo>
                <a:lnTo>
                  <a:pt x="177" y="225"/>
                </a:lnTo>
                <a:lnTo>
                  <a:pt x="171" y="225"/>
                </a:lnTo>
                <a:lnTo>
                  <a:pt x="167" y="222"/>
                </a:lnTo>
                <a:lnTo>
                  <a:pt x="168" y="217"/>
                </a:lnTo>
                <a:lnTo>
                  <a:pt x="164" y="217"/>
                </a:lnTo>
                <a:lnTo>
                  <a:pt x="162" y="210"/>
                </a:lnTo>
                <a:lnTo>
                  <a:pt x="158" y="206"/>
                </a:lnTo>
                <a:lnTo>
                  <a:pt x="157" y="200"/>
                </a:lnTo>
                <a:lnTo>
                  <a:pt x="158" y="197"/>
                </a:lnTo>
                <a:lnTo>
                  <a:pt x="155" y="192"/>
                </a:lnTo>
                <a:lnTo>
                  <a:pt x="150" y="181"/>
                </a:lnTo>
                <a:lnTo>
                  <a:pt x="148" y="176"/>
                </a:lnTo>
                <a:lnTo>
                  <a:pt x="145" y="171"/>
                </a:lnTo>
                <a:lnTo>
                  <a:pt x="144" y="165"/>
                </a:lnTo>
                <a:lnTo>
                  <a:pt x="138" y="160"/>
                </a:lnTo>
                <a:lnTo>
                  <a:pt x="136" y="155"/>
                </a:lnTo>
                <a:lnTo>
                  <a:pt x="129" y="144"/>
                </a:lnTo>
                <a:lnTo>
                  <a:pt x="134" y="143"/>
                </a:lnTo>
                <a:lnTo>
                  <a:pt x="131" y="137"/>
                </a:lnTo>
                <a:lnTo>
                  <a:pt x="133" y="132"/>
                </a:lnTo>
                <a:lnTo>
                  <a:pt x="132" y="125"/>
                </a:lnTo>
                <a:lnTo>
                  <a:pt x="129" y="115"/>
                </a:lnTo>
                <a:lnTo>
                  <a:pt x="129" y="112"/>
                </a:lnTo>
                <a:lnTo>
                  <a:pt x="122" y="96"/>
                </a:lnTo>
                <a:lnTo>
                  <a:pt x="134" y="13"/>
                </a:lnTo>
                <a:lnTo>
                  <a:pt x="135" y="11"/>
                </a:lnTo>
                <a:lnTo>
                  <a:pt x="125" y="8"/>
                </a:lnTo>
                <a:lnTo>
                  <a:pt x="93" y="0"/>
                </a:lnTo>
                <a:lnTo>
                  <a:pt x="93" y="3"/>
                </a:lnTo>
                <a:lnTo>
                  <a:pt x="61" y="196"/>
                </a:lnTo>
                <a:lnTo>
                  <a:pt x="60" y="213"/>
                </a:lnTo>
                <a:lnTo>
                  <a:pt x="58" y="218"/>
                </a:lnTo>
                <a:lnTo>
                  <a:pt x="61" y="230"/>
                </a:lnTo>
                <a:lnTo>
                  <a:pt x="59" y="246"/>
                </a:lnTo>
                <a:lnTo>
                  <a:pt x="60" y="252"/>
                </a:lnTo>
                <a:lnTo>
                  <a:pt x="61" y="260"/>
                </a:lnTo>
                <a:lnTo>
                  <a:pt x="63" y="265"/>
                </a:lnTo>
                <a:lnTo>
                  <a:pt x="64" y="269"/>
                </a:lnTo>
                <a:lnTo>
                  <a:pt x="72" y="278"/>
                </a:lnTo>
                <a:lnTo>
                  <a:pt x="74" y="290"/>
                </a:lnTo>
                <a:lnTo>
                  <a:pt x="71" y="296"/>
                </a:lnTo>
                <a:lnTo>
                  <a:pt x="62" y="309"/>
                </a:lnTo>
                <a:lnTo>
                  <a:pt x="56" y="326"/>
                </a:lnTo>
                <a:lnTo>
                  <a:pt x="48" y="337"/>
                </a:lnTo>
                <a:lnTo>
                  <a:pt x="48" y="342"/>
                </a:lnTo>
                <a:lnTo>
                  <a:pt x="46" y="348"/>
                </a:lnTo>
                <a:lnTo>
                  <a:pt x="42" y="353"/>
                </a:lnTo>
                <a:lnTo>
                  <a:pt x="35" y="358"/>
                </a:lnTo>
                <a:lnTo>
                  <a:pt x="30" y="369"/>
                </a:lnTo>
                <a:lnTo>
                  <a:pt x="26" y="374"/>
                </a:lnTo>
                <a:lnTo>
                  <a:pt x="23" y="392"/>
                </a:lnTo>
                <a:lnTo>
                  <a:pt x="25" y="396"/>
                </a:lnTo>
                <a:lnTo>
                  <a:pt x="29" y="397"/>
                </a:lnTo>
                <a:lnTo>
                  <a:pt x="33" y="401"/>
                </a:lnTo>
                <a:lnTo>
                  <a:pt x="35" y="406"/>
                </a:lnTo>
                <a:lnTo>
                  <a:pt x="32" y="412"/>
                </a:lnTo>
                <a:lnTo>
                  <a:pt x="32" y="420"/>
                </a:lnTo>
                <a:lnTo>
                  <a:pt x="28" y="430"/>
                </a:lnTo>
                <a:lnTo>
                  <a:pt x="26" y="432"/>
                </a:lnTo>
                <a:lnTo>
                  <a:pt x="24" y="436"/>
                </a:lnTo>
                <a:lnTo>
                  <a:pt x="0" y="589"/>
                </a:lnTo>
                <a:lnTo>
                  <a:pt x="0" y="589"/>
                </a:lnTo>
                <a:lnTo>
                  <a:pt x="0" y="589"/>
                </a:lnTo>
                <a:close/>
              </a:path>
            </a:pathLst>
          </a:custGeom>
          <a:solidFill>
            <a:srgbClr val="E75936">
              <a:alpha val="12511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632D6BA6-CECE-45B6-83A0-CBA9614D4887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16">
        <xdr:nvSpPr>
          <xdr:cNvPr id="480" name="IN">
            <a:extLst>
              <a:ext uri="{FF2B5EF4-FFF2-40B4-BE49-F238E27FC236}">
                <a16:creationId xmlns:a16="http://schemas.microsoft.com/office/drawing/2014/main" id="{00000000-0008-0000-0100-0000E0010000}"/>
              </a:ext>
            </a:extLst>
          </xdr:cNvPr>
          <xdr:cNvSpPr>
            <a:spLocks/>
          </xdr:cNvSpPr>
        </xdr:nvSpPr>
        <xdr:spPr bwMode="auto">
          <a:xfrm>
            <a:off x="4381451" y="2531555"/>
            <a:ext cx="257175" cy="432547"/>
          </a:xfrm>
          <a:custGeom>
            <a:avLst/>
            <a:gdLst>
              <a:gd name="T0" fmla="*/ 7 w 158"/>
              <a:gd name="T1" fmla="*/ 365 h 365"/>
              <a:gd name="T2" fmla="*/ 8 w 158"/>
              <a:gd name="T3" fmla="*/ 354 h 365"/>
              <a:gd name="T4" fmla="*/ 20 w 158"/>
              <a:gd name="T5" fmla="*/ 353 h 365"/>
              <a:gd name="T6" fmla="*/ 25 w 158"/>
              <a:gd name="T7" fmla="*/ 357 h 365"/>
              <a:gd name="T8" fmla="*/ 30 w 158"/>
              <a:gd name="T9" fmla="*/ 352 h 365"/>
              <a:gd name="T10" fmla="*/ 46 w 158"/>
              <a:gd name="T11" fmla="*/ 354 h 365"/>
              <a:gd name="T12" fmla="*/ 53 w 158"/>
              <a:gd name="T13" fmla="*/ 354 h 365"/>
              <a:gd name="T14" fmla="*/ 56 w 158"/>
              <a:gd name="T15" fmla="*/ 346 h 365"/>
              <a:gd name="T16" fmla="*/ 63 w 158"/>
              <a:gd name="T17" fmla="*/ 340 h 365"/>
              <a:gd name="T18" fmla="*/ 70 w 158"/>
              <a:gd name="T19" fmla="*/ 348 h 365"/>
              <a:gd name="T20" fmla="*/ 75 w 158"/>
              <a:gd name="T21" fmla="*/ 345 h 365"/>
              <a:gd name="T22" fmla="*/ 78 w 158"/>
              <a:gd name="T23" fmla="*/ 334 h 365"/>
              <a:gd name="T24" fmla="*/ 86 w 158"/>
              <a:gd name="T25" fmla="*/ 325 h 365"/>
              <a:gd name="T26" fmla="*/ 88 w 158"/>
              <a:gd name="T27" fmla="*/ 322 h 365"/>
              <a:gd name="T28" fmla="*/ 95 w 158"/>
              <a:gd name="T29" fmla="*/ 333 h 365"/>
              <a:gd name="T30" fmla="*/ 108 w 158"/>
              <a:gd name="T31" fmla="*/ 330 h 365"/>
              <a:gd name="T32" fmla="*/ 108 w 158"/>
              <a:gd name="T33" fmla="*/ 318 h 365"/>
              <a:gd name="T34" fmla="*/ 115 w 158"/>
              <a:gd name="T35" fmla="*/ 308 h 365"/>
              <a:gd name="T36" fmla="*/ 121 w 158"/>
              <a:gd name="T37" fmla="*/ 292 h 365"/>
              <a:gd name="T38" fmla="*/ 128 w 158"/>
              <a:gd name="T39" fmla="*/ 284 h 365"/>
              <a:gd name="T40" fmla="*/ 128 w 158"/>
              <a:gd name="T41" fmla="*/ 272 h 365"/>
              <a:gd name="T42" fmla="*/ 131 w 158"/>
              <a:gd name="T43" fmla="*/ 265 h 365"/>
              <a:gd name="T44" fmla="*/ 140 w 158"/>
              <a:gd name="T45" fmla="*/ 268 h 365"/>
              <a:gd name="T46" fmla="*/ 157 w 158"/>
              <a:gd name="T47" fmla="*/ 256 h 365"/>
              <a:gd name="T48" fmla="*/ 154 w 158"/>
              <a:gd name="T49" fmla="*/ 245 h 365"/>
              <a:gd name="T50" fmla="*/ 152 w 158"/>
              <a:gd name="T51" fmla="*/ 232 h 365"/>
              <a:gd name="T52" fmla="*/ 142 w 158"/>
              <a:gd name="T53" fmla="*/ 85 h 365"/>
              <a:gd name="T54" fmla="*/ 130 w 158"/>
              <a:gd name="T55" fmla="*/ 0 h 365"/>
              <a:gd name="T56" fmla="*/ 39 w 158"/>
              <a:gd name="T57" fmla="*/ 15 h 365"/>
              <a:gd name="T58" fmla="*/ 28 w 158"/>
              <a:gd name="T59" fmla="*/ 23 h 365"/>
              <a:gd name="T60" fmla="*/ 16 w 158"/>
              <a:gd name="T61" fmla="*/ 31 h 365"/>
              <a:gd name="T62" fmla="*/ 5 w 158"/>
              <a:gd name="T63" fmla="*/ 23 h 365"/>
              <a:gd name="T64" fmla="*/ 19 w 158"/>
              <a:gd name="T65" fmla="*/ 226 h 365"/>
              <a:gd name="T66" fmla="*/ 17 w 158"/>
              <a:gd name="T67" fmla="*/ 238 h 365"/>
              <a:gd name="T68" fmla="*/ 15 w 158"/>
              <a:gd name="T69" fmla="*/ 250 h 365"/>
              <a:gd name="T70" fmla="*/ 22 w 158"/>
              <a:gd name="T71" fmla="*/ 262 h 365"/>
              <a:gd name="T72" fmla="*/ 24 w 158"/>
              <a:gd name="T73" fmla="*/ 278 h 365"/>
              <a:gd name="T74" fmla="*/ 22 w 158"/>
              <a:gd name="T75" fmla="*/ 286 h 365"/>
              <a:gd name="T76" fmla="*/ 17 w 158"/>
              <a:gd name="T77" fmla="*/ 302 h 365"/>
              <a:gd name="T78" fmla="*/ 8 w 158"/>
              <a:gd name="T79" fmla="*/ 320 h 365"/>
              <a:gd name="T80" fmla="*/ 4 w 158"/>
              <a:gd name="T81" fmla="*/ 330 h 365"/>
              <a:gd name="T82" fmla="*/ 3 w 158"/>
              <a:gd name="T83" fmla="*/ 342 h 365"/>
              <a:gd name="T84" fmla="*/ 2 w 158"/>
              <a:gd name="T85" fmla="*/ 353 h 365"/>
              <a:gd name="T86" fmla="*/ 3 w 158"/>
              <a:gd name="T87" fmla="*/ 365 h 365"/>
              <a:gd name="T88" fmla="*/ 3 w 158"/>
              <a:gd name="T89" fmla="*/ 365 h 36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</a:cxnLst>
            <a:rect l="0" t="0" r="r" b="b"/>
            <a:pathLst>
              <a:path w="158" h="365">
                <a:moveTo>
                  <a:pt x="3" y="365"/>
                </a:moveTo>
                <a:lnTo>
                  <a:pt x="7" y="365"/>
                </a:lnTo>
                <a:lnTo>
                  <a:pt x="10" y="360"/>
                </a:lnTo>
                <a:lnTo>
                  <a:pt x="8" y="354"/>
                </a:lnTo>
                <a:lnTo>
                  <a:pt x="16" y="357"/>
                </a:lnTo>
                <a:lnTo>
                  <a:pt x="20" y="353"/>
                </a:lnTo>
                <a:lnTo>
                  <a:pt x="21" y="360"/>
                </a:lnTo>
                <a:lnTo>
                  <a:pt x="25" y="357"/>
                </a:lnTo>
                <a:lnTo>
                  <a:pt x="24" y="352"/>
                </a:lnTo>
                <a:lnTo>
                  <a:pt x="30" y="352"/>
                </a:lnTo>
                <a:lnTo>
                  <a:pt x="34" y="349"/>
                </a:lnTo>
                <a:lnTo>
                  <a:pt x="46" y="354"/>
                </a:lnTo>
                <a:lnTo>
                  <a:pt x="50" y="360"/>
                </a:lnTo>
                <a:lnTo>
                  <a:pt x="53" y="354"/>
                </a:lnTo>
                <a:lnTo>
                  <a:pt x="53" y="352"/>
                </a:lnTo>
                <a:lnTo>
                  <a:pt x="56" y="346"/>
                </a:lnTo>
                <a:lnTo>
                  <a:pt x="60" y="345"/>
                </a:lnTo>
                <a:lnTo>
                  <a:pt x="63" y="340"/>
                </a:lnTo>
                <a:lnTo>
                  <a:pt x="66" y="346"/>
                </a:lnTo>
                <a:lnTo>
                  <a:pt x="70" y="348"/>
                </a:lnTo>
                <a:lnTo>
                  <a:pt x="75" y="350"/>
                </a:lnTo>
                <a:lnTo>
                  <a:pt x="75" y="345"/>
                </a:lnTo>
                <a:lnTo>
                  <a:pt x="79" y="340"/>
                </a:lnTo>
                <a:lnTo>
                  <a:pt x="78" y="334"/>
                </a:lnTo>
                <a:lnTo>
                  <a:pt x="81" y="329"/>
                </a:lnTo>
                <a:lnTo>
                  <a:pt x="86" y="325"/>
                </a:lnTo>
                <a:lnTo>
                  <a:pt x="84" y="320"/>
                </a:lnTo>
                <a:lnTo>
                  <a:pt x="88" y="322"/>
                </a:lnTo>
                <a:lnTo>
                  <a:pt x="91" y="330"/>
                </a:lnTo>
                <a:lnTo>
                  <a:pt x="95" y="333"/>
                </a:lnTo>
                <a:lnTo>
                  <a:pt x="104" y="334"/>
                </a:lnTo>
                <a:lnTo>
                  <a:pt x="108" y="330"/>
                </a:lnTo>
                <a:lnTo>
                  <a:pt x="109" y="325"/>
                </a:lnTo>
                <a:lnTo>
                  <a:pt x="108" y="318"/>
                </a:lnTo>
                <a:lnTo>
                  <a:pt x="111" y="308"/>
                </a:lnTo>
                <a:lnTo>
                  <a:pt x="115" y="308"/>
                </a:lnTo>
                <a:lnTo>
                  <a:pt x="119" y="304"/>
                </a:lnTo>
                <a:lnTo>
                  <a:pt x="121" y="292"/>
                </a:lnTo>
                <a:lnTo>
                  <a:pt x="125" y="289"/>
                </a:lnTo>
                <a:lnTo>
                  <a:pt x="128" y="284"/>
                </a:lnTo>
                <a:lnTo>
                  <a:pt x="129" y="278"/>
                </a:lnTo>
                <a:lnTo>
                  <a:pt x="128" y="272"/>
                </a:lnTo>
                <a:lnTo>
                  <a:pt x="127" y="266"/>
                </a:lnTo>
                <a:lnTo>
                  <a:pt x="131" y="265"/>
                </a:lnTo>
                <a:lnTo>
                  <a:pt x="135" y="264"/>
                </a:lnTo>
                <a:lnTo>
                  <a:pt x="140" y="268"/>
                </a:lnTo>
                <a:lnTo>
                  <a:pt x="148" y="258"/>
                </a:lnTo>
                <a:lnTo>
                  <a:pt x="157" y="256"/>
                </a:lnTo>
                <a:lnTo>
                  <a:pt x="158" y="250"/>
                </a:lnTo>
                <a:lnTo>
                  <a:pt x="154" y="245"/>
                </a:lnTo>
                <a:lnTo>
                  <a:pt x="155" y="240"/>
                </a:lnTo>
                <a:lnTo>
                  <a:pt x="152" y="232"/>
                </a:lnTo>
                <a:lnTo>
                  <a:pt x="154" y="229"/>
                </a:lnTo>
                <a:lnTo>
                  <a:pt x="142" y="85"/>
                </a:lnTo>
                <a:lnTo>
                  <a:pt x="134" y="5"/>
                </a:lnTo>
                <a:lnTo>
                  <a:pt x="130" y="0"/>
                </a:lnTo>
                <a:lnTo>
                  <a:pt x="62" y="12"/>
                </a:lnTo>
                <a:lnTo>
                  <a:pt x="39" y="15"/>
                </a:lnTo>
                <a:lnTo>
                  <a:pt x="37" y="15"/>
                </a:lnTo>
                <a:lnTo>
                  <a:pt x="28" y="23"/>
                </a:lnTo>
                <a:lnTo>
                  <a:pt x="20" y="28"/>
                </a:lnTo>
                <a:lnTo>
                  <a:pt x="16" y="31"/>
                </a:lnTo>
                <a:lnTo>
                  <a:pt x="10" y="28"/>
                </a:lnTo>
                <a:lnTo>
                  <a:pt x="5" y="23"/>
                </a:lnTo>
                <a:lnTo>
                  <a:pt x="5" y="25"/>
                </a:lnTo>
                <a:lnTo>
                  <a:pt x="19" y="226"/>
                </a:lnTo>
                <a:lnTo>
                  <a:pt x="15" y="233"/>
                </a:lnTo>
                <a:lnTo>
                  <a:pt x="17" y="238"/>
                </a:lnTo>
                <a:lnTo>
                  <a:pt x="14" y="244"/>
                </a:lnTo>
                <a:lnTo>
                  <a:pt x="15" y="250"/>
                </a:lnTo>
                <a:lnTo>
                  <a:pt x="18" y="257"/>
                </a:lnTo>
                <a:lnTo>
                  <a:pt x="22" y="262"/>
                </a:lnTo>
                <a:lnTo>
                  <a:pt x="21" y="268"/>
                </a:lnTo>
                <a:lnTo>
                  <a:pt x="24" y="278"/>
                </a:lnTo>
                <a:lnTo>
                  <a:pt x="23" y="285"/>
                </a:lnTo>
                <a:lnTo>
                  <a:pt x="22" y="286"/>
                </a:lnTo>
                <a:lnTo>
                  <a:pt x="17" y="297"/>
                </a:lnTo>
                <a:lnTo>
                  <a:pt x="17" y="302"/>
                </a:lnTo>
                <a:lnTo>
                  <a:pt x="12" y="314"/>
                </a:lnTo>
                <a:lnTo>
                  <a:pt x="8" y="320"/>
                </a:lnTo>
                <a:lnTo>
                  <a:pt x="5" y="324"/>
                </a:lnTo>
                <a:lnTo>
                  <a:pt x="4" y="330"/>
                </a:lnTo>
                <a:lnTo>
                  <a:pt x="5" y="332"/>
                </a:lnTo>
                <a:lnTo>
                  <a:pt x="3" y="342"/>
                </a:lnTo>
                <a:lnTo>
                  <a:pt x="3" y="342"/>
                </a:lnTo>
                <a:lnTo>
                  <a:pt x="2" y="353"/>
                </a:lnTo>
                <a:lnTo>
                  <a:pt x="0" y="358"/>
                </a:lnTo>
                <a:lnTo>
                  <a:pt x="3" y="365"/>
                </a:lnTo>
                <a:lnTo>
                  <a:pt x="3" y="365"/>
                </a:lnTo>
                <a:lnTo>
                  <a:pt x="3" y="365"/>
                </a:lnTo>
                <a:close/>
              </a:path>
            </a:pathLst>
          </a:custGeom>
          <a:solidFill>
            <a:srgbClr val="E75936">
              <a:alpha val="30746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A4F8DA25-4791-43B5-8B49-2722F2F5764F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11">
        <xdr:nvSpPr>
          <xdr:cNvPr id="485" name="FL">
            <a:extLst>
              <a:ext uri="{FF2B5EF4-FFF2-40B4-BE49-F238E27FC236}">
                <a16:creationId xmlns:a16="http://schemas.microsoft.com/office/drawing/2014/main" id="{00000000-0008-0000-0100-0000E5010000}"/>
              </a:ext>
            </a:extLst>
          </xdr:cNvPr>
          <xdr:cNvSpPr>
            <a:spLocks/>
          </xdr:cNvSpPr>
        </xdr:nvSpPr>
        <xdr:spPr bwMode="auto">
          <a:xfrm>
            <a:off x="4495751" y="3610682"/>
            <a:ext cx="758346" cy="560854"/>
          </a:xfrm>
          <a:custGeom>
            <a:avLst/>
            <a:gdLst>
              <a:gd name="T0" fmla="*/ 12 w 467"/>
              <a:gd name="T1" fmla="*/ 97 h 473"/>
              <a:gd name="T2" fmla="*/ 29 w 467"/>
              <a:gd name="T3" fmla="*/ 79 h 473"/>
              <a:gd name="T4" fmla="*/ 34 w 467"/>
              <a:gd name="T5" fmla="*/ 76 h 473"/>
              <a:gd name="T6" fmla="*/ 31 w 467"/>
              <a:gd name="T7" fmla="*/ 87 h 473"/>
              <a:gd name="T8" fmla="*/ 60 w 467"/>
              <a:gd name="T9" fmla="*/ 81 h 473"/>
              <a:gd name="T10" fmla="*/ 85 w 467"/>
              <a:gd name="T11" fmla="*/ 76 h 473"/>
              <a:gd name="T12" fmla="*/ 74 w 467"/>
              <a:gd name="T13" fmla="*/ 81 h 473"/>
              <a:gd name="T14" fmla="*/ 101 w 467"/>
              <a:gd name="T15" fmla="*/ 92 h 473"/>
              <a:gd name="T16" fmla="*/ 107 w 467"/>
              <a:gd name="T17" fmla="*/ 84 h 473"/>
              <a:gd name="T18" fmla="*/ 111 w 467"/>
              <a:gd name="T19" fmla="*/ 92 h 473"/>
              <a:gd name="T20" fmla="*/ 126 w 467"/>
              <a:gd name="T21" fmla="*/ 105 h 473"/>
              <a:gd name="T22" fmla="*/ 123 w 467"/>
              <a:gd name="T23" fmla="*/ 108 h 473"/>
              <a:gd name="T24" fmla="*/ 136 w 467"/>
              <a:gd name="T25" fmla="*/ 124 h 473"/>
              <a:gd name="T26" fmla="*/ 130 w 467"/>
              <a:gd name="T27" fmla="*/ 125 h 473"/>
              <a:gd name="T28" fmla="*/ 150 w 467"/>
              <a:gd name="T29" fmla="*/ 128 h 473"/>
              <a:gd name="T30" fmla="*/ 164 w 467"/>
              <a:gd name="T31" fmla="*/ 121 h 473"/>
              <a:gd name="T32" fmla="*/ 186 w 467"/>
              <a:gd name="T33" fmla="*/ 101 h 473"/>
              <a:gd name="T34" fmla="*/ 191 w 467"/>
              <a:gd name="T35" fmla="*/ 88 h 473"/>
              <a:gd name="T36" fmla="*/ 219 w 467"/>
              <a:gd name="T37" fmla="*/ 92 h 473"/>
              <a:gd name="T38" fmla="*/ 245 w 467"/>
              <a:gd name="T39" fmla="*/ 127 h 473"/>
              <a:gd name="T40" fmla="*/ 271 w 467"/>
              <a:gd name="T41" fmla="*/ 153 h 473"/>
              <a:gd name="T42" fmla="*/ 293 w 467"/>
              <a:gd name="T43" fmla="*/ 173 h 473"/>
              <a:gd name="T44" fmla="*/ 296 w 467"/>
              <a:gd name="T45" fmla="*/ 211 h 473"/>
              <a:gd name="T46" fmla="*/ 293 w 467"/>
              <a:gd name="T47" fmla="*/ 269 h 473"/>
              <a:gd name="T48" fmla="*/ 304 w 467"/>
              <a:gd name="T49" fmla="*/ 270 h 473"/>
              <a:gd name="T50" fmla="*/ 298 w 467"/>
              <a:gd name="T51" fmla="*/ 248 h 473"/>
              <a:gd name="T52" fmla="*/ 316 w 467"/>
              <a:gd name="T53" fmla="*/ 258 h 473"/>
              <a:gd name="T54" fmla="*/ 304 w 467"/>
              <a:gd name="T55" fmla="*/ 294 h 473"/>
              <a:gd name="T56" fmla="*/ 313 w 467"/>
              <a:gd name="T57" fmla="*/ 308 h 473"/>
              <a:gd name="T58" fmla="*/ 339 w 467"/>
              <a:gd name="T59" fmla="*/ 344 h 473"/>
              <a:gd name="T60" fmla="*/ 338 w 467"/>
              <a:gd name="T61" fmla="*/ 330 h 473"/>
              <a:gd name="T62" fmla="*/ 346 w 467"/>
              <a:gd name="T63" fmla="*/ 340 h 473"/>
              <a:gd name="T64" fmla="*/ 352 w 467"/>
              <a:gd name="T65" fmla="*/ 365 h 473"/>
              <a:gd name="T66" fmla="*/ 357 w 467"/>
              <a:gd name="T67" fmla="*/ 362 h 473"/>
              <a:gd name="T68" fmla="*/ 367 w 467"/>
              <a:gd name="T69" fmla="*/ 397 h 473"/>
              <a:gd name="T70" fmla="*/ 381 w 467"/>
              <a:gd name="T71" fmla="*/ 412 h 473"/>
              <a:gd name="T72" fmla="*/ 401 w 467"/>
              <a:gd name="T73" fmla="*/ 428 h 473"/>
              <a:gd name="T74" fmla="*/ 424 w 467"/>
              <a:gd name="T75" fmla="*/ 454 h 473"/>
              <a:gd name="T76" fmla="*/ 413 w 467"/>
              <a:gd name="T77" fmla="*/ 462 h 473"/>
              <a:gd name="T78" fmla="*/ 436 w 467"/>
              <a:gd name="T79" fmla="*/ 466 h 473"/>
              <a:gd name="T80" fmla="*/ 456 w 467"/>
              <a:gd name="T81" fmla="*/ 458 h 473"/>
              <a:gd name="T82" fmla="*/ 462 w 467"/>
              <a:gd name="T83" fmla="*/ 442 h 473"/>
              <a:gd name="T84" fmla="*/ 462 w 467"/>
              <a:gd name="T85" fmla="*/ 412 h 473"/>
              <a:gd name="T86" fmla="*/ 467 w 467"/>
              <a:gd name="T87" fmla="*/ 396 h 473"/>
              <a:gd name="T88" fmla="*/ 464 w 467"/>
              <a:gd name="T89" fmla="*/ 330 h 473"/>
              <a:gd name="T90" fmla="*/ 446 w 467"/>
              <a:gd name="T91" fmla="*/ 288 h 473"/>
              <a:gd name="T92" fmla="*/ 433 w 467"/>
              <a:gd name="T93" fmla="*/ 252 h 473"/>
              <a:gd name="T94" fmla="*/ 395 w 467"/>
              <a:gd name="T95" fmla="*/ 161 h 473"/>
              <a:gd name="T96" fmla="*/ 408 w 467"/>
              <a:gd name="T97" fmla="*/ 173 h 473"/>
              <a:gd name="T98" fmla="*/ 422 w 467"/>
              <a:gd name="T99" fmla="*/ 228 h 473"/>
              <a:gd name="T100" fmla="*/ 412 w 467"/>
              <a:gd name="T101" fmla="*/ 191 h 473"/>
              <a:gd name="T102" fmla="*/ 380 w 467"/>
              <a:gd name="T103" fmla="*/ 124 h 473"/>
              <a:gd name="T104" fmla="*/ 348 w 467"/>
              <a:gd name="T105" fmla="*/ 41 h 473"/>
              <a:gd name="T106" fmla="*/ 341 w 467"/>
              <a:gd name="T107" fmla="*/ 19 h 473"/>
              <a:gd name="T108" fmla="*/ 329 w 467"/>
              <a:gd name="T109" fmla="*/ 5 h 473"/>
              <a:gd name="T110" fmla="*/ 308 w 467"/>
              <a:gd name="T111" fmla="*/ 11 h 473"/>
              <a:gd name="T112" fmla="*/ 307 w 467"/>
              <a:gd name="T113" fmla="*/ 43 h 473"/>
              <a:gd name="T114" fmla="*/ 150 w 467"/>
              <a:gd name="T115" fmla="*/ 35 h 473"/>
              <a:gd name="T116" fmla="*/ 1 w 467"/>
              <a:gd name="T117" fmla="*/ 43 h 473"/>
              <a:gd name="T118" fmla="*/ 12 w 467"/>
              <a:gd name="T119" fmla="*/ 76 h 4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</a:cxnLst>
            <a:rect l="0" t="0" r="r" b="b"/>
            <a:pathLst>
              <a:path w="467" h="473">
                <a:moveTo>
                  <a:pt x="14" y="81"/>
                </a:moveTo>
                <a:lnTo>
                  <a:pt x="18" y="84"/>
                </a:lnTo>
                <a:lnTo>
                  <a:pt x="18" y="87"/>
                </a:lnTo>
                <a:lnTo>
                  <a:pt x="14" y="92"/>
                </a:lnTo>
                <a:lnTo>
                  <a:pt x="12" y="97"/>
                </a:lnTo>
                <a:lnTo>
                  <a:pt x="15" y="97"/>
                </a:lnTo>
                <a:lnTo>
                  <a:pt x="19" y="96"/>
                </a:lnTo>
                <a:lnTo>
                  <a:pt x="23" y="92"/>
                </a:lnTo>
                <a:lnTo>
                  <a:pt x="27" y="85"/>
                </a:lnTo>
                <a:lnTo>
                  <a:pt x="29" y="79"/>
                </a:lnTo>
                <a:lnTo>
                  <a:pt x="28" y="77"/>
                </a:lnTo>
                <a:lnTo>
                  <a:pt x="27" y="76"/>
                </a:lnTo>
                <a:lnTo>
                  <a:pt x="30" y="73"/>
                </a:lnTo>
                <a:lnTo>
                  <a:pt x="32" y="81"/>
                </a:lnTo>
                <a:lnTo>
                  <a:pt x="34" y="76"/>
                </a:lnTo>
                <a:lnTo>
                  <a:pt x="36" y="69"/>
                </a:lnTo>
                <a:lnTo>
                  <a:pt x="37" y="75"/>
                </a:lnTo>
                <a:lnTo>
                  <a:pt x="41" y="80"/>
                </a:lnTo>
                <a:lnTo>
                  <a:pt x="38" y="85"/>
                </a:lnTo>
                <a:lnTo>
                  <a:pt x="31" y="87"/>
                </a:lnTo>
                <a:lnTo>
                  <a:pt x="30" y="88"/>
                </a:lnTo>
                <a:lnTo>
                  <a:pt x="35" y="88"/>
                </a:lnTo>
                <a:lnTo>
                  <a:pt x="47" y="84"/>
                </a:lnTo>
                <a:lnTo>
                  <a:pt x="58" y="81"/>
                </a:lnTo>
                <a:lnTo>
                  <a:pt x="60" y="81"/>
                </a:lnTo>
                <a:lnTo>
                  <a:pt x="68" y="71"/>
                </a:lnTo>
                <a:lnTo>
                  <a:pt x="70" y="76"/>
                </a:lnTo>
                <a:lnTo>
                  <a:pt x="74" y="73"/>
                </a:lnTo>
                <a:lnTo>
                  <a:pt x="78" y="72"/>
                </a:lnTo>
                <a:lnTo>
                  <a:pt x="85" y="76"/>
                </a:lnTo>
                <a:lnTo>
                  <a:pt x="87" y="81"/>
                </a:lnTo>
                <a:lnTo>
                  <a:pt x="84" y="80"/>
                </a:lnTo>
                <a:lnTo>
                  <a:pt x="79" y="77"/>
                </a:lnTo>
                <a:lnTo>
                  <a:pt x="75" y="79"/>
                </a:lnTo>
                <a:lnTo>
                  <a:pt x="74" y="81"/>
                </a:lnTo>
                <a:lnTo>
                  <a:pt x="66" y="81"/>
                </a:lnTo>
                <a:lnTo>
                  <a:pt x="70" y="83"/>
                </a:lnTo>
                <a:lnTo>
                  <a:pt x="74" y="83"/>
                </a:lnTo>
                <a:lnTo>
                  <a:pt x="91" y="87"/>
                </a:lnTo>
                <a:lnTo>
                  <a:pt x="101" y="92"/>
                </a:lnTo>
                <a:lnTo>
                  <a:pt x="110" y="99"/>
                </a:lnTo>
                <a:lnTo>
                  <a:pt x="109" y="93"/>
                </a:lnTo>
                <a:lnTo>
                  <a:pt x="105" y="89"/>
                </a:lnTo>
                <a:lnTo>
                  <a:pt x="103" y="85"/>
                </a:lnTo>
                <a:lnTo>
                  <a:pt x="107" y="84"/>
                </a:lnTo>
                <a:lnTo>
                  <a:pt x="111" y="87"/>
                </a:lnTo>
                <a:lnTo>
                  <a:pt x="117" y="81"/>
                </a:lnTo>
                <a:lnTo>
                  <a:pt x="116" y="87"/>
                </a:lnTo>
                <a:lnTo>
                  <a:pt x="113" y="88"/>
                </a:lnTo>
                <a:lnTo>
                  <a:pt x="111" y="92"/>
                </a:lnTo>
                <a:lnTo>
                  <a:pt x="117" y="97"/>
                </a:lnTo>
                <a:lnTo>
                  <a:pt x="121" y="97"/>
                </a:lnTo>
                <a:lnTo>
                  <a:pt x="124" y="103"/>
                </a:lnTo>
                <a:lnTo>
                  <a:pt x="128" y="103"/>
                </a:lnTo>
                <a:lnTo>
                  <a:pt x="126" y="105"/>
                </a:lnTo>
                <a:lnTo>
                  <a:pt x="121" y="103"/>
                </a:lnTo>
                <a:lnTo>
                  <a:pt x="113" y="97"/>
                </a:lnTo>
                <a:lnTo>
                  <a:pt x="117" y="103"/>
                </a:lnTo>
                <a:lnTo>
                  <a:pt x="121" y="105"/>
                </a:lnTo>
                <a:lnTo>
                  <a:pt x="123" y="108"/>
                </a:lnTo>
                <a:lnTo>
                  <a:pt x="121" y="108"/>
                </a:lnTo>
                <a:lnTo>
                  <a:pt x="125" y="111"/>
                </a:lnTo>
                <a:lnTo>
                  <a:pt x="129" y="113"/>
                </a:lnTo>
                <a:lnTo>
                  <a:pt x="133" y="119"/>
                </a:lnTo>
                <a:lnTo>
                  <a:pt x="136" y="124"/>
                </a:lnTo>
                <a:lnTo>
                  <a:pt x="137" y="129"/>
                </a:lnTo>
                <a:lnTo>
                  <a:pt x="133" y="131"/>
                </a:lnTo>
                <a:lnTo>
                  <a:pt x="131" y="125"/>
                </a:lnTo>
                <a:lnTo>
                  <a:pt x="131" y="120"/>
                </a:lnTo>
                <a:lnTo>
                  <a:pt x="130" y="125"/>
                </a:lnTo>
                <a:lnTo>
                  <a:pt x="132" y="131"/>
                </a:lnTo>
                <a:lnTo>
                  <a:pt x="136" y="133"/>
                </a:lnTo>
                <a:lnTo>
                  <a:pt x="140" y="132"/>
                </a:lnTo>
                <a:lnTo>
                  <a:pt x="142" y="131"/>
                </a:lnTo>
                <a:lnTo>
                  <a:pt x="150" y="128"/>
                </a:lnTo>
                <a:lnTo>
                  <a:pt x="154" y="127"/>
                </a:lnTo>
                <a:lnTo>
                  <a:pt x="155" y="124"/>
                </a:lnTo>
                <a:lnTo>
                  <a:pt x="159" y="120"/>
                </a:lnTo>
                <a:lnTo>
                  <a:pt x="160" y="123"/>
                </a:lnTo>
                <a:lnTo>
                  <a:pt x="164" y="121"/>
                </a:lnTo>
                <a:lnTo>
                  <a:pt x="176" y="108"/>
                </a:lnTo>
                <a:lnTo>
                  <a:pt x="181" y="107"/>
                </a:lnTo>
                <a:lnTo>
                  <a:pt x="184" y="105"/>
                </a:lnTo>
                <a:lnTo>
                  <a:pt x="188" y="107"/>
                </a:lnTo>
                <a:lnTo>
                  <a:pt x="186" y="101"/>
                </a:lnTo>
                <a:lnTo>
                  <a:pt x="181" y="97"/>
                </a:lnTo>
                <a:lnTo>
                  <a:pt x="187" y="100"/>
                </a:lnTo>
                <a:lnTo>
                  <a:pt x="185" y="97"/>
                </a:lnTo>
                <a:lnTo>
                  <a:pt x="187" y="92"/>
                </a:lnTo>
                <a:lnTo>
                  <a:pt x="191" y="88"/>
                </a:lnTo>
                <a:lnTo>
                  <a:pt x="199" y="87"/>
                </a:lnTo>
                <a:lnTo>
                  <a:pt x="204" y="85"/>
                </a:lnTo>
                <a:lnTo>
                  <a:pt x="206" y="85"/>
                </a:lnTo>
                <a:lnTo>
                  <a:pt x="215" y="92"/>
                </a:lnTo>
                <a:lnTo>
                  <a:pt x="219" y="92"/>
                </a:lnTo>
                <a:lnTo>
                  <a:pt x="228" y="100"/>
                </a:lnTo>
                <a:lnTo>
                  <a:pt x="233" y="111"/>
                </a:lnTo>
                <a:lnTo>
                  <a:pt x="242" y="116"/>
                </a:lnTo>
                <a:lnTo>
                  <a:pt x="244" y="121"/>
                </a:lnTo>
                <a:lnTo>
                  <a:pt x="245" y="127"/>
                </a:lnTo>
                <a:lnTo>
                  <a:pt x="257" y="137"/>
                </a:lnTo>
                <a:lnTo>
                  <a:pt x="260" y="144"/>
                </a:lnTo>
                <a:lnTo>
                  <a:pt x="264" y="147"/>
                </a:lnTo>
                <a:lnTo>
                  <a:pt x="267" y="152"/>
                </a:lnTo>
                <a:lnTo>
                  <a:pt x="271" y="153"/>
                </a:lnTo>
                <a:lnTo>
                  <a:pt x="279" y="152"/>
                </a:lnTo>
                <a:lnTo>
                  <a:pt x="285" y="160"/>
                </a:lnTo>
                <a:lnTo>
                  <a:pt x="285" y="165"/>
                </a:lnTo>
                <a:lnTo>
                  <a:pt x="289" y="171"/>
                </a:lnTo>
                <a:lnTo>
                  <a:pt x="293" y="173"/>
                </a:lnTo>
                <a:lnTo>
                  <a:pt x="293" y="179"/>
                </a:lnTo>
                <a:lnTo>
                  <a:pt x="294" y="181"/>
                </a:lnTo>
                <a:lnTo>
                  <a:pt x="295" y="199"/>
                </a:lnTo>
                <a:lnTo>
                  <a:pt x="296" y="204"/>
                </a:lnTo>
                <a:lnTo>
                  <a:pt x="296" y="211"/>
                </a:lnTo>
                <a:lnTo>
                  <a:pt x="291" y="239"/>
                </a:lnTo>
                <a:lnTo>
                  <a:pt x="292" y="242"/>
                </a:lnTo>
                <a:lnTo>
                  <a:pt x="292" y="254"/>
                </a:lnTo>
                <a:lnTo>
                  <a:pt x="290" y="262"/>
                </a:lnTo>
                <a:lnTo>
                  <a:pt x="293" y="269"/>
                </a:lnTo>
                <a:lnTo>
                  <a:pt x="298" y="274"/>
                </a:lnTo>
                <a:lnTo>
                  <a:pt x="293" y="266"/>
                </a:lnTo>
                <a:lnTo>
                  <a:pt x="301" y="273"/>
                </a:lnTo>
                <a:lnTo>
                  <a:pt x="302" y="276"/>
                </a:lnTo>
                <a:lnTo>
                  <a:pt x="304" y="270"/>
                </a:lnTo>
                <a:lnTo>
                  <a:pt x="306" y="258"/>
                </a:lnTo>
                <a:lnTo>
                  <a:pt x="302" y="258"/>
                </a:lnTo>
                <a:lnTo>
                  <a:pt x="301" y="257"/>
                </a:lnTo>
                <a:lnTo>
                  <a:pt x="301" y="252"/>
                </a:lnTo>
                <a:lnTo>
                  <a:pt x="298" y="248"/>
                </a:lnTo>
                <a:lnTo>
                  <a:pt x="298" y="246"/>
                </a:lnTo>
                <a:lnTo>
                  <a:pt x="307" y="253"/>
                </a:lnTo>
                <a:lnTo>
                  <a:pt x="308" y="258"/>
                </a:lnTo>
                <a:lnTo>
                  <a:pt x="312" y="253"/>
                </a:lnTo>
                <a:lnTo>
                  <a:pt x="316" y="258"/>
                </a:lnTo>
                <a:lnTo>
                  <a:pt x="317" y="262"/>
                </a:lnTo>
                <a:lnTo>
                  <a:pt x="310" y="280"/>
                </a:lnTo>
                <a:lnTo>
                  <a:pt x="308" y="289"/>
                </a:lnTo>
                <a:lnTo>
                  <a:pt x="304" y="290"/>
                </a:lnTo>
                <a:lnTo>
                  <a:pt x="304" y="294"/>
                </a:lnTo>
                <a:lnTo>
                  <a:pt x="300" y="290"/>
                </a:lnTo>
                <a:lnTo>
                  <a:pt x="303" y="296"/>
                </a:lnTo>
                <a:lnTo>
                  <a:pt x="311" y="301"/>
                </a:lnTo>
                <a:lnTo>
                  <a:pt x="314" y="306"/>
                </a:lnTo>
                <a:lnTo>
                  <a:pt x="313" y="308"/>
                </a:lnTo>
                <a:lnTo>
                  <a:pt x="322" y="328"/>
                </a:lnTo>
                <a:lnTo>
                  <a:pt x="325" y="333"/>
                </a:lnTo>
                <a:lnTo>
                  <a:pt x="331" y="342"/>
                </a:lnTo>
                <a:lnTo>
                  <a:pt x="335" y="344"/>
                </a:lnTo>
                <a:lnTo>
                  <a:pt x="339" y="344"/>
                </a:lnTo>
                <a:lnTo>
                  <a:pt x="341" y="345"/>
                </a:lnTo>
                <a:lnTo>
                  <a:pt x="340" y="340"/>
                </a:lnTo>
                <a:lnTo>
                  <a:pt x="337" y="334"/>
                </a:lnTo>
                <a:lnTo>
                  <a:pt x="333" y="330"/>
                </a:lnTo>
                <a:lnTo>
                  <a:pt x="338" y="330"/>
                </a:lnTo>
                <a:lnTo>
                  <a:pt x="340" y="334"/>
                </a:lnTo>
                <a:lnTo>
                  <a:pt x="347" y="329"/>
                </a:lnTo>
                <a:lnTo>
                  <a:pt x="348" y="330"/>
                </a:lnTo>
                <a:lnTo>
                  <a:pt x="344" y="334"/>
                </a:lnTo>
                <a:lnTo>
                  <a:pt x="346" y="340"/>
                </a:lnTo>
                <a:lnTo>
                  <a:pt x="346" y="350"/>
                </a:lnTo>
                <a:lnTo>
                  <a:pt x="347" y="357"/>
                </a:lnTo>
                <a:lnTo>
                  <a:pt x="349" y="362"/>
                </a:lnTo>
                <a:lnTo>
                  <a:pt x="348" y="365"/>
                </a:lnTo>
                <a:lnTo>
                  <a:pt x="352" y="365"/>
                </a:lnTo>
                <a:lnTo>
                  <a:pt x="356" y="360"/>
                </a:lnTo>
                <a:lnTo>
                  <a:pt x="357" y="354"/>
                </a:lnTo>
                <a:lnTo>
                  <a:pt x="363" y="348"/>
                </a:lnTo>
                <a:lnTo>
                  <a:pt x="358" y="356"/>
                </a:lnTo>
                <a:lnTo>
                  <a:pt x="357" y="362"/>
                </a:lnTo>
                <a:lnTo>
                  <a:pt x="354" y="368"/>
                </a:lnTo>
                <a:lnTo>
                  <a:pt x="355" y="370"/>
                </a:lnTo>
                <a:lnTo>
                  <a:pt x="359" y="372"/>
                </a:lnTo>
                <a:lnTo>
                  <a:pt x="363" y="377"/>
                </a:lnTo>
                <a:lnTo>
                  <a:pt x="367" y="397"/>
                </a:lnTo>
                <a:lnTo>
                  <a:pt x="374" y="409"/>
                </a:lnTo>
                <a:lnTo>
                  <a:pt x="377" y="409"/>
                </a:lnTo>
                <a:lnTo>
                  <a:pt x="373" y="410"/>
                </a:lnTo>
                <a:lnTo>
                  <a:pt x="377" y="414"/>
                </a:lnTo>
                <a:lnTo>
                  <a:pt x="381" y="412"/>
                </a:lnTo>
                <a:lnTo>
                  <a:pt x="386" y="413"/>
                </a:lnTo>
                <a:lnTo>
                  <a:pt x="388" y="413"/>
                </a:lnTo>
                <a:lnTo>
                  <a:pt x="396" y="417"/>
                </a:lnTo>
                <a:lnTo>
                  <a:pt x="397" y="422"/>
                </a:lnTo>
                <a:lnTo>
                  <a:pt x="401" y="428"/>
                </a:lnTo>
                <a:lnTo>
                  <a:pt x="407" y="437"/>
                </a:lnTo>
                <a:lnTo>
                  <a:pt x="408" y="442"/>
                </a:lnTo>
                <a:lnTo>
                  <a:pt x="416" y="453"/>
                </a:lnTo>
                <a:lnTo>
                  <a:pt x="419" y="454"/>
                </a:lnTo>
                <a:lnTo>
                  <a:pt x="424" y="454"/>
                </a:lnTo>
                <a:lnTo>
                  <a:pt x="428" y="458"/>
                </a:lnTo>
                <a:lnTo>
                  <a:pt x="425" y="464"/>
                </a:lnTo>
                <a:lnTo>
                  <a:pt x="420" y="461"/>
                </a:lnTo>
                <a:lnTo>
                  <a:pt x="416" y="457"/>
                </a:lnTo>
                <a:lnTo>
                  <a:pt x="413" y="462"/>
                </a:lnTo>
                <a:lnTo>
                  <a:pt x="414" y="468"/>
                </a:lnTo>
                <a:lnTo>
                  <a:pt x="418" y="473"/>
                </a:lnTo>
                <a:lnTo>
                  <a:pt x="427" y="469"/>
                </a:lnTo>
                <a:lnTo>
                  <a:pt x="432" y="465"/>
                </a:lnTo>
                <a:lnTo>
                  <a:pt x="436" y="466"/>
                </a:lnTo>
                <a:lnTo>
                  <a:pt x="440" y="466"/>
                </a:lnTo>
                <a:lnTo>
                  <a:pt x="444" y="464"/>
                </a:lnTo>
                <a:lnTo>
                  <a:pt x="448" y="458"/>
                </a:lnTo>
                <a:lnTo>
                  <a:pt x="452" y="456"/>
                </a:lnTo>
                <a:lnTo>
                  <a:pt x="456" y="458"/>
                </a:lnTo>
                <a:lnTo>
                  <a:pt x="454" y="456"/>
                </a:lnTo>
                <a:lnTo>
                  <a:pt x="459" y="458"/>
                </a:lnTo>
                <a:lnTo>
                  <a:pt x="457" y="453"/>
                </a:lnTo>
                <a:lnTo>
                  <a:pt x="459" y="448"/>
                </a:lnTo>
                <a:lnTo>
                  <a:pt x="462" y="442"/>
                </a:lnTo>
                <a:lnTo>
                  <a:pt x="459" y="432"/>
                </a:lnTo>
                <a:lnTo>
                  <a:pt x="460" y="428"/>
                </a:lnTo>
                <a:lnTo>
                  <a:pt x="459" y="422"/>
                </a:lnTo>
                <a:lnTo>
                  <a:pt x="461" y="417"/>
                </a:lnTo>
                <a:lnTo>
                  <a:pt x="462" y="412"/>
                </a:lnTo>
                <a:lnTo>
                  <a:pt x="465" y="406"/>
                </a:lnTo>
                <a:lnTo>
                  <a:pt x="464" y="401"/>
                </a:lnTo>
                <a:lnTo>
                  <a:pt x="465" y="396"/>
                </a:lnTo>
                <a:lnTo>
                  <a:pt x="467" y="401"/>
                </a:lnTo>
                <a:lnTo>
                  <a:pt x="467" y="396"/>
                </a:lnTo>
                <a:lnTo>
                  <a:pt x="466" y="389"/>
                </a:lnTo>
                <a:lnTo>
                  <a:pt x="465" y="378"/>
                </a:lnTo>
                <a:lnTo>
                  <a:pt x="465" y="362"/>
                </a:lnTo>
                <a:lnTo>
                  <a:pt x="465" y="356"/>
                </a:lnTo>
                <a:lnTo>
                  <a:pt x="464" y="330"/>
                </a:lnTo>
                <a:lnTo>
                  <a:pt x="459" y="309"/>
                </a:lnTo>
                <a:lnTo>
                  <a:pt x="457" y="308"/>
                </a:lnTo>
                <a:lnTo>
                  <a:pt x="456" y="301"/>
                </a:lnTo>
                <a:lnTo>
                  <a:pt x="450" y="290"/>
                </a:lnTo>
                <a:lnTo>
                  <a:pt x="446" y="288"/>
                </a:lnTo>
                <a:lnTo>
                  <a:pt x="444" y="289"/>
                </a:lnTo>
                <a:lnTo>
                  <a:pt x="445" y="286"/>
                </a:lnTo>
                <a:lnTo>
                  <a:pt x="445" y="281"/>
                </a:lnTo>
                <a:lnTo>
                  <a:pt x="440" y="270"/>
                </a:lnTo>
                <a:lnTo>
                  <a:pt x="433" y="252"/>
                </a:lnTo>
                <a:lnTo>
                  <a:pt x="417" y="221"/>
                </a:lnTo>
                <a:lnTo>
                  <a:pt x="405" y="195"/>
                </a:lnTo>
                <a:lnTo>
                  <a:pt x="403" y="189"/>
                </a:lnTo>
                <a:lnTo>
                  <a:pt x="397" y="173"/>
                </a:lnTo>
                <a:lnTo>
                  <a:pt x="395" y="161"/>
                </a:lnTo>
                <a:lnTo>
                  <a:pt x="396" y="161"/>
                </a:lnTo>
                <a:lnTo>
                  <a:pt x="400" y="165"/>
                </a:lnTo>
                <a:lnTo>
                  <a:pt x="399" y="171"/>
                </a:lnTo>
                <a:lnTo>
                  <a:pt x="404" y="176"/>
                </a:lnTo>
                <a:lnTo>
                  <a:pt x="408" y="173"/>
                </a:lnTo>
                <a:lnTo>
                  <a:pt x="411" y="177"/>
                </a:lnTo>
                <a:lnTo>
                  <a:pt x="412" y="183"/>
                </a:lnTo>
                <a:lnTo>
                  <a:pt x="411" y="195"/>
                </a:lnTo>
                <a:lnTo>
                  <a:pt x="414" y="211"/>
                </a:lnTo>
                <a:lnTo>
                  <a:pt x="422" y="228"/>
                </a:lnTo>
                <a:lnTo>
                  <a:pt x="427" y="233"/>
                </a:lnTo>
                <a:lnTo>
                  <a:pt x="418" y="217"/>
                </a:lnTo>
                <a:lnTo>
                  <a:pt x="416" y="212"/>
                </a:lnTo>
                <a:lnTo>
                  <a:pt x="414" y="203"/>
                </a:lnTo>
                <a:lnTo>
                  <a:pt x="412" y="191"/>
                </a:lnTo>
                <a:lnTo>
                  <a:pt x="416" y="185"/>
                </a:lnTo>
                <a:lnTo>
                  <a:pt x="414" y="180"/>
                </a:lnTo>
                <a:lnTo>
                  <a:pt x="411" y="175"/>
                </a:lnTo>
                <a:lnTo>
                  <a:pt x="403" y="163"/>
                </a:lnTo>
                <a:lnTo>
                  <a:pt x="380" y="124"/>
                </a:lnTo>
                <a:lnTo>
                  <a:pt x="367" y="95"/>
                </a:lnTo>
                <a:lnTo>
                  <a:pt x="360" y="79"/>
                </a:lnTo>
                <a:lnTo>
                  <a:pt x="354" y="59"/>
                </a:lnTo>
                <a:lnTo>
                  <a:pt x="353" y="53"/>
                </a:lnTo>
                <a:lnTo>
                  <a:pt x="348" y="41"/>
                </a:lnTo>
                <a:lnTo>
                  <a:pt x="347" y="32"/>
                </a:lnTo>
                <a:lnTo>
                  <a:pt x="345" y="27"/>
                </a:lnTo>
                <a:lnTo>
                  <a:pt x="341" y="21"/>
                </a:lnTo>
                <a:lnTo>
                  <a:pt x="339" y="15"/>
                </a:lnTo>
                <a:lnTo>
                  <a:pt x="341" y="19"/>
                </a:lnTo>
                <a:lnTo>
                  <a:pt x="342" y="8"/>
                </a:lnTo>
                <a:lnTo>
                  <a:pt x="337" y="5"/>
                </a:lnTo>
                <a:lnTo>
                  <a:pt x="335" y="5"/>
                </a:lnTo>
                <a:lnTo>
                  <a:pt x="333" y="7"/>
                </a:lnTo>
                <a:lnTo>
                  <a:pt x="329" y="5"/>
                </a:lnTo>
                <a:lnTo>
                  <a:pt x="318" y="3"/>
                </a:lnTo>
                <a:lnTo>
                  <a:pt x="314" y="0"/>
                </a:lnTo>
                <a:lnTo>
                  <a:pt x="311" y="5"/>
                </a:lnTo>
                <a:lnTo>
                  <a:pt x="309" y="5"/>
                </a:lnTo>
                <a:lnTo>
                  <a:pt x="308" y="11"/>
                </a:lnTo>
                <a:lnTo>
                  <a:pt x="308" y="16"/>
                </a:lnTo>
                <a:lnTo>
                  <a:pt x="310" y="21"/>
                </a:lnTo>
                <a:lnTo>
                  <a:pt x="311" y="27"/>
                </a:lnTo>
                <a:lnTo>
                  <a:pt x="311" y="39"/>
                </a:lnTo>
                <a:lnTo>
                  <a:pt x="307" y="43"/>
                </a:lnTo>
                <a:lnTo>
                  <a:pt x="303" y="41"/>
                </a:lnTo>
                <a:lnTo>
                  <a:pt x="300" y="31"/>
                </a:lnTo>
                <a:lnTo>
                  <a:pt x="295" y="27"/>
                </a:lnTo>
                <a:lnTo>
                  <a:pt x="153" y="40"/>
                </a:lnTo>
                <a:lnTo>
                  <a:pt x="150" y="35"/>
                </a:lnTo>
                <a:lnTo>
                  <a:pt x="149" y="29"/>
                </a:lnTo>
                <a:lnTo>
                  <a:pt x="143" y="17"/>
                </a:lnTo>
                <a:lnTo>
                  <a:pt x="56" y="32"/>
                </a:lnTo>
                <a:lnTo>
                  <a:pt x="5" y="39"/>
                </a:lnTo>
                <a:lnTo>
                  <a:pt x="1" y="43"/>
                </a:lnTo>
                <a:lnTo>
                  <a:pt x="0" y="49"/>
                </a:lnTo>
                <a:lnTo>
                  <a:pt x="6" y="61"/>
                </a:lnTo>
                <a:lnTo>
                  <a:pt x="10" y="64"/>
                </a:lnTo>
                <a:lnTo>
                  <a:pt x="14" y="68"/>
                </a:lnTo>
                <a:lnTo>
                  <a:pt x="12" y="76"/>
                </a:lnTo>
                <a:lnTo>
                  <a:pt x="13" y="79"/>
                </a:lnTo>
                <a:lnTo>
                  <a:pt x="14" y="81"/>
                </a:lnTo>
                <a:lnTo>
                  <a:pt x="14" y="81"/>
                </a:lnTo>
                <a:lnTo>
                  <a:pt x="14" y="81"/>
                </a:lnTo>
                <a:close/>
              </a:path>
            </a:pathLst>
          </a:custGeom>
          <a:solidFill>
            <a:srgbClr val="E75936">
              <a:alpha val="31821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903761CF-BC62-4AB8-A2BD-1663A57C2A6D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12">
        <xdr:nvSpPr>
          <xdr:cNvPr id="488" name="GA">
            <a:extLst>
              <a:ext uri="{FF2B5EF4-FFF2-40B4-BE49-F238E27FC236}">
                <a16:creationId xmlns:a16="http://schemas.microsoft.com/office/drawing/2014/main" id="{00000000-0008-0000-0100-0000E8010000}"/>
              </a:ext>
            </a:extLst>
          </xdr:cNvPr>
          <xdr:cNvSpPr>
            <a:spLocks/>
          </xdr:cNvSpPr>
        </xdr:nvSpPr>
        <xdr:spPr bwMode="auto">
          <a:xfrm>
            <a:off x="4619576" y="3206709"/>
            <a:ext cx="463071" cy="451598"/>
          </a:xfrm>
          <a:custGeom>
            <a:avLst/>
            <a:gdLst>
              <a:gd name="T0" fmla="*/ 39 w 282"/>
              <a:gd name="T1" fmla="*/ 199 h 387"/>
              <a:gd name="T2" fmla="*/ 45 w 282"/>
              <a:gd name="T3" fmla="*/ 213 h 387"/>
              <a:gd name="T4" fmla="*/ 54 w 282"/>
              <a:gd name="T5" fmla="*/ 232 h 387"/>
              <a:gd name="T6" fmla="*/ 59 w 282"/>
              <a:gd name="T7" fmla="*/ 251 h 387"/>
              <a:gd name="T8" fmla="*/ 53 w 282"/>
              <a:gd name="T9" fmla="*/ 265 h 387"/>
              <a:gd name="T10" fmla="*/ 51 w 282"/>
              <a:gd name="T11" fmla="*/ 292 h 387"/>
              <a:gd name="T12" fmla="*/ 59 w 282"/>
              <a:gd name="T13" fmla="*/ 316 h 387"/>
              <a:gd name="T14" fmla="*/ 57 w 282"/>
              <a:gd name="T15" fmla="*/ 339 h 387"/>
              <a:gd name="T16" fmla="*/ 65 w 282"/>
              <a:gd name="T17" fmla="*/ 359 h 387"/>
              <a:gd name="T18" fmla="*/ 72 w 282"/>
              <a:gd name="T19" fmla="*/ 379 h 387"/>
              <a:gd name="T20" fmla="*/ 222 w 282"/>
              <a:gd name="T21" fmla="*/ 375 h 387"/>
              <a:gd name="T22" fmla="*/ 233 w 282"/>
              <a:gd name="T23" fmla="*/ 383 h 387"/>
              <a:gd name="T24" fmla="*/ 230 w 282"/>
              <a:gd name="T25" fmla="*/ 360 h 387"/>
              <a:gd name="T26" fmla="*/ 233 w 282"/>
              <a:gd name="T27" fmla="*/ 349 h 387"/>
              <a:gd name="T28" fmla="*/ 251 w 282"/>
              <a:gd name="T29" fmla="*/ 349 h 387"/>
              <a:gd name="T30" fmla="*/ 259 w 282"/>
              <a:gd name="T31" fmla="*/ 349 h 387"/>
              <a:gd name="T32" fmla="*/ 258 w 282"/>
              <a:gd name="T33" fmla="*/ 333 h 387"/>
              <a:gd name="T34" fmla="*/ 259 w 282"/>
              <a:gd name="T35" fmla="*/ 323 h 387"/>
              <a:gd name="T36" fmla="*/ 261 w 282"/>
              <a:gd name="T37" fmla="*/ 315 h 387"/>
              <a:gd name="T38" fmla="*/ 261 w 282"/>
              <a:gd name="T39" fmla="*/ 312 h 387"/>
              <a:gd name="T40" fmla="*/ 262 w 282"/>
              <a:gd name="T41" fmla="*/ 296 h 387"/>
              <a:gd name="T42" fmla="*/ 255 w 282"/>
              <a:gd name="T43" fmla="*/ 293 h 387"/>
              <a:gd name="T44" fmla="*/ 263 w 282"/>
              <a:gd name="T45" fmla="*/ 289 h 387"/>
              <a:gd name="T46" fmla="*/ 264 w 282"/>
              <a:gd name="T47" fmla="*/ 280 h 387"/>
              <a:gd name="T48" fmla="*/ 264 w 282"/>
              <a:gd name="T49" fmla="*/ 268 h 387"/>
              <a:gd name="T50" fmla="*/ 269 w 282"/>
              <a:gd name="T51" fmla="*/ 263 h 387"/>
              <a:gd name="T52" fmla="*/ 269 w 282"/>
              <a:gd name="T53" fmla="*/ 259 h 387"/>
              <a:gd name="T54" fmla="*/ 268 w 282"/>
              <a:gd name="T55" fmla="*/ 243 h 387"/>
              <a:gd name="T56" fmla="*/ 276 w 282"/>
              <a:gd name="T57" fmla="*/ 240 h 387"/>
              <a:gd name="T58" fmla="*/ 279 w 282"/>
              <a:gd name="T59" fmla="*/ 229 h 387"/>
              <a:gd name="T60" fmla="*/ 266 w 282"/>
              <a:gd name="T61" fmla="*/ 225 h 387"/>
              <a:gd name="T62" fmla="*/ 263 w 282"/>
              <a:gd name="T63" fmla="*/ 209 h 387"/>
              <a:gd name="T64" fmla="*/ 255 w 282"/>
              <a:gd name="T65" fmla="*/ 192 h 387"/>
              <a:gd name="T66" fmla="*/ 244 w 282"/>
              <a:gd name="T67" fmla="*/ 179 h 387"/>
              <a:gd name="T68" fmla="*/ 237 w 282"/>
              <a:gd name="T69" fmla="*/ 160 h 387"/>
              <a:gd name="T70" fmla="*/ 224 w 282"/>
              <a:gd name="T71" fmla="*/ 145 h 387"/>
              <a:gd name="T72" fmla="*/ 215 w 282"/>
              <a:gd name="T73" fmla="*/ 137 h 387"/>
              <a:gd name="T74" fmla="*/ 209 w 282"/>
              <a:gd name="T75" fmla="*/ 124 h 387"/>
              <a:gd name="T76" fmla="*/ 199 w 282"/>
              <a:gd name="T77" fmla="*/ 111 h 387"/>
              <a:gd name="T78" fmla="*/ 189 w 282"/>
              <a:gd name="T79" fmla="*/ 100 h 387"/>
              <a:gd name="T80" fmla="*/ 169 w 282"/>
              <a:gd name="T81" fmla="*/ 81 h 387"/>
              <a:gd name="T82" fmla="*/ 153 w 282"/>
              <a:gd name="T83" fmla="*/ 52 h 387"/>
              <a:gd name="T84" fmla="*/ 140 w 282"/>
              <a:gd name="T85" fmla="*/ 43 h 387"/>
              <a:gd name="T86" fmla="*/ 124 w 282"/>
              <a:gd name="T87" fmla="*/ 31 h 387"/>
              <a:gd name="T88" fmla="*/ 131 w 282"/>
              <a:gd name="T89" fmla="*/ 4 h 387"/>
              <a:gd name="T90" fmla="*/ 47 w 282"/>
              <a:gd name="T91" fmla="*/ 15 h 387"/>
              <a:gd name="T92" fmla="*/ 0 w 282"/>
              <a:gd name="T93" fmla="*/ 23 h 3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282" h="387">
                <a:moveTo>
                  <a:pt x="0" y="23"/>
                </a:moveTo>
                <a:lnTo>
                  <a:pt x="20" y="105"/>
                </a:lnTo>
                <a:lnTo>
                  <a:pt x="39" y="199"/>
                </a:lnTo>
                <a:lnTo>
                  <a:pt x="41" y="201"/>
                </a:lnTo>
                <a:lnTo>
                  <a:pt x="42" y="208"/>
                </a:lnTo>
                <a:lnTo>
                  <a:pt x="45" y="213"/>
                </a:lnTo>
                <a:lnTo>
                  <a:pt x="48" y="224"/>
                </a:lnTo>
                <a:lnTo>
                  <a:pt x="53" y="231"/>
                </a:lnTo>
                <a:lnTo>
                  <a:pt x="54" y="232"/>
                </a:lnTo>
                <a:lnTo>
                  <a:pt x="56" y="239"/>
                </a:lnTo>
                <a:lnTo>
                  <a:pt x="55" y="248"/>
                </a:lnTo>
                <a:lnTo>
                  <a:pt x="59" y="251"/>
                </a:lnTo>
                <a:lnTo>
                  <a:pt x="60" y="255"/>
                </a:lnTo>
                <a:lnTo>
                  <a:pt x="56" y="260"/>
                </a:lnTo>
                <a:lnTo>
                  <a:pt x="53" y="265"/>
                </a:lnTo>
                <a:lnTo>
                  <a:pt x="54" y="276"/>
                </a:lnTo>
                <a:lnTo>
                  <a:pt x="52" y="281"/>
                </a:lnTo>
                <a:lnTo>
                  <a:pt x="51" y="292"/>
                </a:lnTo>
                <a:lnTo>
                  <a:pt x="54" y="303"/>
                </a:lnTo>
                <a:lnTo>
                  <a:pt x="57" y="308"/>
                </a:lnTo>
                <a:lnTo>
                  <a:pt x="59" y="316"/>
                </a:lnTo>
                <a:lnTo>
                  <a:pt x="58" y="321"/>
                </a:lnTo>
                <a:lnTo>
                  <a:pt x="58" y="327"/>
                </a:lnTo>
                <a:lnTo>
                  <a:pt x="57" y="339"/>
                </a:lnTo>
                <a:lnTo>
                  <a:pt x="58" y="345"/>
                </a:lnTo>
                <a:lnTo>
                  <a:pt x="61" y="351"/>
                </a:lnTo>
                <a:lnTo>
                  <a:pt x="65" y="359"/>
                </a:lnTo>
                <a:lnTo>
                  <a:pt x="65" y="361"/>
                </a:lnTo>
                <a:lnTo>
                  <a:pt x="71" y="373"/>
                </a:lnTo>
                <a:lnTo>
                  <a:pt x="72" y="379"/>
                </a:lnTo>
                <a:lnTo>
                  <a:pt x="75" y="384"/>
                </a:lnTo>
                <a:lnTo>
                  <a:pt x="217" y="371"/>
                </a:lnTo>
                <a:lnTo>
                  <a:pt x="222" y="375"/>
                </a:lnTo>
                <a:lnTo>
                  <a:pt x="225" y="385"/>
                </a:lnTo>
                <a:lnTo>
                  <a:pt x="229" y="387"/>
                </a:lnTo>
                <a:lnTo>
                  <a:pt x="233" y="383"/>
                </a:lnTo>
                <a:lnTo>
                  <a:pt x="233" y="371"/>
                </a:lnTo>
                <a:lnTo>
                  <a:pt x="232" y="365"/>
                </a:lnTo>
                <a:lnTo>
                  <a:pt x="230" y="360"/>
                </a:lnTo>
                <a:lnTo>
                  <a:pt x="230" y="355"/>
                </a:lnTo>
                <a:lnTo>
                  <a:pt x="231" y="349"/>
                </a:lnTo>
                <a:lnTo>
                  <a:pt x="233" y="349"/>
                </a:lnTo>
                <a:lnTo>
                  <a:pt x="236" y="344"/>
                </a:lnTo>
                <a:lnTo>
                  <a:pt x="240" y="347"/>
                </a:lnTo>
                <a:lnTo>
                  <a:pt x="251" y="349"/>
                </a:lnTo>
                <a:lnTo>
                  <a:pt x="255" y="351"/>
                </a:lnTo>
                <a:lnTo>
                  <a:pt x="257" y="349"/>
                </a:lnTo>
                <a:lnTo>
                  <a:pt x="259" y="349"/>
                </a:lnTo>
                <a:lnTo>
                  <a:pt x="260" y="344"/>
                </a:lnTo>
                <a:lnTo>
                  <a:pt x="257" y="339"/>
                </a:lnTo>
                <a:lnTo>
                  <a:pt x="258" y="333"/>
                </a:lnTo>
                <a:lnTo>
                  <a:pt x="260" y="328"/>
                </a:lnTo>
                <a:lnTo>
                  <a:pt x="257" y="328"/>
                </a:lnTo>
                <a:lnTo>
                  <a:pt x="259" y="323"/>
                </a:lnTo>
                <a:lnTo>
                  <a:pt x="255" y="317"/>
                </a:lnTo>
                <a:lnTo>
                  <a:pt x="259" y="321"/>
                </a:lnTo>
                <a:lnTo>
                  <a:pt x="261" y="315"/>
                </a:lnTo>
                <a:lnTo>
                  <a:pt x="256" y="315"/>
                </a:lnTo>
                <a:lnTo>
                  <a:pt x="257" y="309"/>
                </a:lnTo>
                <a:lnTo>
                  <a:pt x="261" y="312"/>
                </a:lnTo>
                <a:lnTo>
                  <a:pt x="265" y="304"/>
                </a:lnTo>
                <a:lnTo>
                  <a:pt x="266" y="299"/>
                </a:lnTo>
                <a:lnTo>
                  <a:pt x="262" y="296"/>
                </a:lnTo>
                <a:lnTo>
                  <a:pt x="258" y="296"/>
                </a:lnTo>
                <a:lnTo>
                  <a:pt x="254" y="293"/>
                </a:lnTo>
                <a:lnTo>
                  <a:pt x="255" y="293"/>
                </a:lnTo>
                <a:lnTo>
                  <a:pt x="259" y="295"/>
                </a:lnTo>
                <a:lnTo>
                  <a:pt x="263" y="295"/>
                </a:lnTo>
                <a:lnTo>
                  <a:pt x="263" y="289"/>
                </a:lnTo>
                <a:lnTo>
                  <a:pt x="265" y="289"/>
                </a:lnTo>
                <a:lnTo>
                  <a:pt x="268" y="279"/>
                </a:lnTo>
                <a:lnTo>
                  <a:pt x="264" y="280"/>
                </a:lnTo>
                <a:lnTo>
                  <a:pt x="262" y="277"/>
                </a:lnTo>
                <a:lnTo>
                  <a:pt x="266" y="273"/>
                </a:lnTo>
                <a:lnTo>
                  <a:pt x="264" y="268"/>
                </a:lnTo>
                <a:lnTo>
                  <a:pt x="268" y="271"/>
                </a:lnTo>
                <a:lnTo>
                  <a:pt x="270" y="265"/>
                </a:lnTo>
                <a:lnTo>
                  <a:pt x="269" y="263"/>
                </a:lnTo>
                <a:lnTo>
                  <a:pt x="266" y="265"/>
                </a:lnTo>
                <a:lnTo>
                  <a:pt x="265" y="260"/>
                </a:lnTo>
                <a:lnTo>
                  <a:pt x="269" y="259"/>
                </a:lnTo>
                <a:lnTo>
                  <a:pt x="272" y="252"/>
                </a:lnTo>
                <a:lnTo>
                  <a:pt x="268" y="248"/>
                </a:lnTo>
                <a:lnTo>
                  <a:pt x="268" y="243"/>
                </a:lnTo>
                <a:lnTo>
                  <a:pt x="272" y="245"/>
                </a:lnTo>
                <a:lnTo>
                  <a:pt x="276" y="245"/>
                </a:lnTo>
                <a:lnTo>
                  <a:pt x="276" y="240"/>
                </a:lnTo>
                <a:lnTo>
                  <a:pt x="280" y="236"/>
                </a:lnTo>
                <a:lnTo>
                  <a:pt x="282" y="231"/>
                </a:lnTo>
                <a:lnTo>
                  <a:pt x="279" y="229"/>
                </a:lnTo>
                <a:lnTo>
                  <a:pt x="277" y="229"/>
                </a:lnTo>
                <a:lnTo>
                  <a:pt x="275" y="227"/>
                </a:lnTo>
                <a:lnTo>
                  <a:pt x="266" y="225"/>
                </a:lnTo>
                <a:lnTo>
                  <a:pt x="264" y="220"/>
                </a:lnTo>
                <a:lnTo>
                  <a:pt x="263" y="215"/>
                </a:lnTo>
                <a:lnTo>
                  <a:pt x="263" y="209"/>
                </a:lnTo>
                <a:lnTo>
                  <a:pt x="260" y="204"/>
                </a:lnTo>
                <a:lnTo>
                  <a:pt x="258" y="197"/>
                </a:lnTo>
                <a:lnTo>
                  <a:pt x="255" y="192"/>
                </a:lnTo>
                <a:lnTo>
                  <a:pt x="249" y="189"/>
                </a:lnTo>
                <a:lnTo>
                  <a:pt x="245" y="185"/>
                </a:lnTo>
                <a:lnTo>
                  <a:pt x="244" y="179"/>
                </a:lnTo>
                <a:lnTo>
                  <a:pt x="244" y="175"/>
                </a:lnTo>
                <a:lnTo>
                  <a:pt x="242" y="168"/>
                </a:lnTo>
                <a:lnTo>
                  <a:pt x="237" y="160"/>
                </a:lnTo>
                <a:lnTo>
                  <a:pt x="236" y="155"/>
                </a:lnTo>
                <a:lnTo>
                  <a:pt x="228" y="148"/>
                </a:lnTo>
                <a:lnTo>
                  <a:pt x="224" y="145"/>
                </a:lnTo>
                <a:lnTo>
                  <a:pt x="220" y="140"/>
                </a:lnTo>
                <a:lnTo>
                  <a:pt x="220" y="140"/>
                </a:lnTo>
                <a:lnTo>
                  <a:pt x="215" y="137"/>
                </a:lnTo>
                <a:lnTo>
                  <a:pt x="214" y="132"/>
                </a:lnTo>
                <a:lnTo>
                  <a:pt x="210" y="129"/>
                </a:lnTo>
                <a:lnTo>
                  <a:pt x="209" y="124"/>
                </a:lnTo>
                <a:lnTo>
                  <a:pt x="209" y="120"/>
                </a:lnTo>
                <a:lnTo>
                  <a:pt x="205" y="117"/>
                </a:lnTo>
                <a:lnTo>
                  <a:pt x="199" y="111"/>
                </a:lnTo>
                <a:lnTo>
                  <a:pt x="195" y="109"/>
                </a:lnTo>
                <a:lnTo>
                  <a:pt x="192" y="107"/>
                </a:lnTo>
                <a:lnTo>
                  <a:pt x="189" y="100"/>
                </a:lnTo>
                <a:lnTo>
                  <a:pt x="185" y="95"/>
                </a:lnTo>
                <a:lnTo>
                  <a:pt x="177" y="89"/>
                </a:lnTo>
                <a:lnTo>
                  <a:pt x="169" y="81"/>
                </a:lnTo>
                <a:lnTo>
                  <a:pt x="158" y="64"/>
                </a:lnTo>
                <a:lnTo>
                  <a:pt x="157" y="59"/>
                </a:lnTo>
                <a:lnTo>
                  <a:pt x="153" y="52"/>
                </a:lnTo>
                <a:lnTo>
                  <a:pt x="151" y="47"/>
                </a:lnTo>
                <a:lnTo>
                  <a:pt x="146" y="43"/>
                </a:lnTo>
                <a:lnTo>
                  <a:pt x="140" y="43"/>
                </a:lnTo>
                <a:lnTo>
                  <a:pt x="132" y="35"/>
                </a:lnTo>
                <a:lnTo>
                  <a:pt x="128" y="34"/>
                </a:lnTo>
                <a:lnTo>
                  <a:pt x="124" y="31"/>
                </a:lnTo>
                <a:lnTo>
                  <a:pt x="122" y="26"/>
                </a:lnTo>
                <a:lnTo>
                  <a:pt x="123" y="20"/>
                </a:lnTo>
                <a:lnTo>
                  <a:pt x="131" y="4"/>
                </a:lnTo>
                <a:lnTo>
                  <a:pt x="132" y="0"/>
                </a:lnTo>
                <a:lnTo>
                  <a:pt x="68" y="14"/>
                </a:lnTo>
                <a:lnTo>
                  <a:pt x="47" y="15"/>
                </a:lnTo>
                <a:lnTo>
                  <a:pt x="0" y="23"/>
                </a:lnTo>
                <a:lnTo>
                  <a:pt x="0" y="23"/>
                </a:lnTo>
                <a:lnTo>
                  <a:pt x="0" y="23"/>
                </a:lnTo>
                <a:close/>
              </a:path>
            </a:pathLst>
          </a:custGeom>
          <a:solidFill>
            <a:srgbClr val="E75936">
              <a:alpha val="95361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3D25E0C1-3DE0-407A-87E7-CD290BB1748D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19">
        <xdr:nvSpPr>
          <xdr:cNvPr id="478" name="KY">
            <a:extLst>
              <a:ext uri="{FF2B5EF4-FFF2-40B4-BE49-F238E27FC236}">
                <a16:creationId xmlns:a16="http://schemas.microsoft.com/office/drawing/2014/main" id="{00000000-0008-0000-0100-0000DE010000}"/>
              </a:ext>
            </a:extLst>
          </xdr:cNvPr>
          <xdr:cNvSpPr>
            <a:spLocks/>
          </xdr:cNvSpPr>
        </xdr:nvSpPr>
        <xdr:spPr bwMode="auto">
          <a:xfrm>
            <a:off x="4286201" y="2797695"/>
            <a:ext cx="605946" cy="313764"/>
          </a:xfrm>
          <a:custGeom>
            <a:avLst/>
            <a:gdLst>
              <a:gd name="T0" fmla="*/ 71 w 371"/>
              <a:gd name="T1" fmla="*/ 247 h 261"/>
              <a:gd name="T2" fmla="*/ 82 w 371"/>
              <a:gd name="T3" fmla="*/ 239 h 261"/>
              <a:gd name="T4" fmla="*/ 150 w 371"/>
              <a:gd name="T5" fmla="*/ 228 h 261"/>
              <a:gd name="T6" fmla="*/ 214 w 371"/>
              <a:gd name="T7" fmla="*/ 220 h 261"/>
              <a:gd name="T8" fmla="*/ 270 w 371"/>
              <a:gd name="T9" fmla="*/ 213 h 261"/>
              <a:gd name="T10" fmla="*/ 302 w 371"/>
              <a:gd name="T11" fmla="*/ 201 h 261"/>
              <a:gd name="T12" fmla="*/ 320 w 371"/>
              <a:gd name="T13" fmla="*/ 191 h 261"/>
              <a:gd name="T14" fmla="*/ 329 w 371"/>
              <a:gd name="T15" fmla="*/ 177 h 261"/>
              <a:gd name="T16" fmla="*/ 338 w 371"/>
              <a:gd name="T17" fmla="*/ 163 h 261"/>
              <a:gd name="T18" fmla="*/ 355 w 371"/>
              <a:gd name="T19" fmla="*/ 136 h 261"/>
              <a:gd name="T20" fmla="*/ 354 w 371"/>
              <a:gd name="T21" fmla="*/ 103 h 261"/>
              <a:gd name="T22" fmla="*/ 340 w 371"/>
              <a:gd name="T23" fmla="*/ 77 h 261"/>
              <a:gd name="T24" fmla="*/ 333 w 371"/>
              <a:gd name="T25" fmla="*/ 49 h 261"/>
              <a:gd name="T26" fmla="*/ 328 w 371"/>
              <a:gd name="T27" fmla="*/ 37 h 261"/>
              <a:gd name="T28" fmla="*/ 316 w 371"/>
              <a:gd name="T29" fmla="*/ 27 h 261"/>
              <a:gd name="T30" fmla="*/ 304 w 371"/>
              <a:gd name="T31" fmla="*/ 25 h 261"/>
              <a:gd name="T32" fmla="*/ 293 w 371"/>
              <a:gd name="T33" fmla="*/ 33 h 261"/>
              <a:gd name="T34" fmla="*/ 280 w 371"/>
              <a:gd name="T35" fmla="*/ 28 h 261"/>
              <a:gd name="T36" fmla="*/ 265 w 371"/>
              <a:gd name="T37" fmla="*/ 25 h 261"/>
              <a:gd name="T38" fmla="*/ 249 w 371"/>
              <a:gd name="T39" fmla="*/ 24 h 261"/>
              <a:gd name="T40" fmla="*/ 231 w 371"/>
              <a:gd name="T41" fmla="*/ 1 h 261"/>
              <a:gd name="T42" fmla="*/ 214 w 371"/>
              <a:gd name="T43" fmla="*/ 4 h 261"/>
              <a:gd name="T44" fmla="*/ 214 w 371"/>
              <a:gd name="T45" fmla="*/ 20 h 261"/>
              <a:gd name="T46" fmla="*/ 208 w 371"/>
              <a:gd name="T47" fmla="*/ 33 h 261"/>
              <a:gd name="T48" fmla="*/ 191 w 371"/>
              <a:gd name="T49" fmla="*/ 40 h 261"/>
              <a:gd name="T50" fmla="*/ 189 w 371"/>
              <a:gd name="T51" fmla="*/ 53 h 261"/>
              <a:gd name="T52" fmla="*/ 181 w 371"/>
              <a:gd name="T53" fmla="*/ 67 h 261"/>
              <a:gd name="T54" fmla="*/ 171 w 371"/>
              <a:gd name="T55" fmla="*/ 83 h 261"/>
              <a:gd name="T56" fmla="*/ 168 w 371"/>
              <a:gd name="T57" fmla="*/ 105 h 261"/>
              <a:gd name="T58" fmla="*/ 151 w 371"/>
              <a:gd name="T59" fmla="*/ 105 h 261"/>
              <a:gd name="T60" fmla="*/ 146 w 371"/>
              <a:gd name="T61" fmla="*/ 100 h 261"/>
              <a:gd name="T62" fmla="*/ 139 w 371"/>
              <a:gd name="T63" fmla="*/ 115 h 261"/>
              <a:gd name="T64" fmla="*/ 130 w 371"/>
              <a:gd name="T65" fmla="*/ 123 h 261"/>
              <a:gd name="T66" fmla="*/ 120 w 371"/>
              <a:gd name="T67" fmla="*/ 120 h 261"/>
              <a:gd name="T68" fmla="*/ 113 w 371"/>
              <a:gd name="T69" fmla="*/ 129 h 261"/>
              <a:gd name="T70" fmla="*/ 94 w 371"/>
              <a:gd name="T71" fmla="*/ 124 h 261"/>
              <a:gd name="T72" fmla="*/ 85 w 371"/>
              <a:gd name="T73" fmla="*/ 132 h 261"/>
              <a:gd name="T74" fmla="*/ 76 w 371"/>
              <a:gd name="T75" fmla="*/ 132 h 261"/>
              <a:gd name="T76" fmla="*/ 67 w 371"/>
              <a:gd name="T77" fmla="*/ 140 h 261"/>
              <a:gd name="T78" fmla="*/ 61 w 371"/>
              <a:gd name="T79" fmla="*/ 147 h 261"/>
              <a:gd name="T80" fmla="*/ 63 w 371"/>
              <a:gd name="T81" fmla="*/ 164 h 261"/>
              <a:gd name="T82" fmla="*/ 47 w 371"/>
              <a:gd name="T83" fmla="*/ 176 h 261"/>
              <a:gd name="T84" fmla="*/ 43 w 371"/>
              <a:gd name="T85" fmla="*/ 189 h 261"/>
              <a:gd name="T86" fmla="*/ 44 w 371"/>
              <a:gd name="T87" fmla="*/ 207 h 261"/>
              <a:gd name="T88" fmla="*/ 29 w 371"/>
              <a:gd name="T89" fmla="*/ 199 h 261"/>
              <a:gd name="T90" fmla="*/ 16 w 371"/>
              <a:gd name="T91" fmla="*/ 197 h 261"/>
              <a:gd name="T92" fmla="*/ 13 w 371"/>
              <a:gd name="T93" fmla="*/ 217 h 261"/>
              <a:gd name="T94" fmla="*/ 14 w 371"/>
              <a:gd name="T95" fmla="*/ 236 h 261"/>
              <a:gd name="T96" fmla="*/ 10 w 371"/>
              <a:gd name="T97" fmla="*/ 253 h 261"/>
              <a:gd name="T98" fmla="*/ 0 w 371"/>
              <a:gd name="T99" fmla="*/ 261 h 26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</a:cxnLst>
            <a:rect l="0" t="0" r="r" b="b"/>
            <a:pathLst>
              <a:path w="371" h="261">
                <a:moveTo>
                  <a:pt x="0" y="261"/>
                </a:moveTo>
                <a:lnTo>
                  <a:pt x="70" y="253"/>
                </a:lnTo>
                <a:lnTo>
                  <a:pt x="71" y="247"/>
                </a:lnTo>
                <a:lnTo>
                  <a:pt x="68" y="236"/>
                </a:lnTo>
                <a:lnTo>
                  <a:pt x="77" y="236"/>
                </a:lnTo>
                <a:lnTo>
                  <a:pt x="82" y="239"/>
                </a:lnTo>
                <a:lnTo>
                  <a:pt x="103" y="235"/>
                </a:lnTo>
                <a:lnTo>
                  <a:pt x="124" y="232"/>
                </a:lnTo>
                <a:lnTo>
                  <a:pt x="150" y="228"/>
                </a:lnTo>
                <a:lnTo>
                  <a:pt x="175" y="227"/>
                </a:lnTo>
                <a:lnTo>
                  <a:pt x="200" y="223"/>
                </a:lnTo>
                <a:lnTo>
                  <a:pt x="214" y="220"/>
                </a:lnTo>
                <a:lnTo>
                  <a:pt x="237" y="219"/>
                </a:lnTo>
                <a:lnTo>
                  <a:pt x="254" y="216"/>
                </a:lnTo>
                <a:lnTo>
                  <a:pt x="270" y="213"/>
                </a:lnTo>
                <a:lnTo>
                  <a:pt x="289" y="211"/>
                </a:lnTo>
                <a:lnTo>
                  <a:pt x="294" y="208"/>
                </a:lnTo>
                <a:lnTo>
                  <a:pt x="302" y="201"/>
                </a:lnTo>
                <a:lnTo>
                  <a:pt x="306" y="200"/>
                </a:lnTo>
                <a:lnTo>
                  <a:pt x="310" y="196"/>
                </a:lnTo>
                <a:lnTo>
                  <a:pt x="320" y="191"/>
                </a:lnTo>
                <a:lnTo>
                  <a:pt x="321" y="185"/>
                </a:lnTo>
                <a:lnTo>
                  <a:pt x="325" y="180"/>
                </a:lnTo>
                <a:lnTo>
                  <a:pt x="329" y="177"/>
                </a:lnTo>
                <a:lnTo>
                  <a:pt x="332" y="172"/>
                </a:lnTo>
                <a:lnTo>
                  <a:pt x="333" y="167"/>
                </a:lnTo>
                <a:lnTo>
                  <a:pt x="338" y="163"/>
                </a:lnTo>
                <a:lnTo>
                  <a:pt x="338" y="156"/>
                </a:lnTo>
                <a:lnTo>
                  <a:pt x="341" y="151"/>
                </a:lnTo>
                <a:lnTo>
                  <a:pt x="355" y="136"/>
                </a:lnTo>
                <a:lnTo>
                  <a:pt x="371" y="112"/>
                </a:lnTo>
                <a:lnTo>
                  <a:pt x="363" y="111"/>
                </a:lnTo>
                <a:lnTo>
                  <a:pt x="354" y="103"/>
                </a:lnTo>
                <a:lnTo>
                  <a:pt x="346" y="88"/>
                </a:lnTo>
                <a:lnTo>
                  <a:pt x="342" y="83"/>
                </a:lnTo>
                <a:lnTo>
                  <a:pt x="340" y="77"/>
                </a:lnTo>
                <a:lnTo>
                  <a:pt x="332" y="65"/>
                </a:lnTo>
                <a:lnTo>
                  <a:pt x="334" y="55"/>
                </a:lnTo>
                <a:lnTo>
                  <a:pt x="333" y="49"/>
                </a:lnTo>
                <a:lnTo>
                  <a:pt x="332" y="47"/>
                </a:lnTo>
                <a:lnTo>
                  <a:pt x="331" y="43"/>
                </a:lnTo>
                <a:lnTo>
                  <a:pt x="328" y="37"/>
                </a:lnTo>
                <a:lnTo>
                  <a:pt x="324" y="32"/>
                </a:lnTo>
                <a:lnTo>
                  <a:pt x="320" y="32"/>
                </a:lnTo>
                <a:lnTo>
                  <a:pt x="316" y="27"/>
                </a:lnTo>
                <a:lnTo>
                  <a:pt x="313" y="17"/>
                </a:lnTo>
                <a:lnTo>
                  <a:pt x="308" y="20"/>
                </a:lnTo>
                <a:lnTo>
                  <a:pt x="304" y="25"/>
                </a:lnTo>
                <a:lnTo>
                  <a:pt x="301" y="31"/>
                </a:lnTo>
                <a:lnTo>
                  <a:pt x="297" y="31"/>
                </a:lnTo>
                <a:lnTo>
                  <a:pt x="293" y="33"/>
                </a:lnTo>
                <a:lnTo>
                  <a:pt x="289" y="28"/>
                </a:lnTo>
                <a:lnTo>
                  <a:pt x="284" y="28"/>
                </a:lnTo>
                <a:lnTo>
                  <a:pt x="280" y="28"/>
                </a:lnTo>
                <a:lnTo>
                  <a:pt x="277" y="33"/>
                </a:lnTo>
                <a:lnTo>
                  <a:pt x="273" y="33"/>
                </a:lnTo>
                <a:lnTo>
                  <a:pt x="265" y="25"/>
                </a:lnTo>
                <a:lnTo>
                  <a:pt x="262" y="24"/>
                </a:lnTo>
                <a:lnTo>
                  <a:pt x="254" y="25"/>
                </a:lnTo>
                <a:lnTo>
                  <a:pt x="249" y="24"/>
                </a:lnTo>
                <a:lnTo>
                  <a:pt x="243" y="13"/>
                </a:lnTo>
                <a:lnTo>
                  <a:pt x="241" y="7"/>
                </a:lnTo>
                <a:lnTo>
                  <a:pt x="231" y="1"/>
                </a:lnTo>
                <a:lnTo>
                  <a:pt x="224" y="4"/>
                </a:lnTo>
                <a:lnTo>
                  <a:pt x="220" y="0"/>
                </a:lnTo>
                <a:lnTo>
                  <a:pt x="214" y="4"/>
                </a:lnTo>
                <a:lnTo>
                  <a:pt x="212" y="7"/>
                </a:lnTo>
                <a:lnTo>
                  <a:pt x="215" y="15"/>
                </a:lnTo>
                <a:lnTo>
                  <a:pt x="214" y="20"/>
                </a:lnTo>
                <a:lnTo>
                  <a:pt x="218" y="25"/>
                </a:lnTo>
                <a:lnTo>
                  <a:pt x="217" y="31"/>
                </a:lnTo>
                <a:lnTo>
                  <a:pt x="208" y="33"/>
                </a:lnTo>
                <a:lnTo>
                  <a:pt x="200" y="43"/>
                </a:lnTo>
                <a:lnTo>
                  <a:pt x="195" y="39"/>
                </a:lnTo>
                <a:lnTo>
                  <a:pt x="191" y="40"/>
                </a:lnTo>
                <a:lnTo>
                  <a:pt x="187" y="41"/>
                </a:lnTo>
                <a:lnTo>
                  <a:pt x="188" y="47"/>
                </a:lnTo>
                <a:lnTo>
                  <a:pt x="189" y="53"/>
                </a:lnTo>
                <a:lnTo>
                  <a:pt x="188" y="59"/>
                </a:lnTo>
                <a:lnTo>
                  <a:pt x="185" y="64"/>
                </a:lnTo>
                <a:lnTo>
                  <a:pt x="181" y="67"/>
                </a:lnTo>
                <a:lnTo>
                  <a:pt x="179" y="79"/>
                </a:lnTo>
                <a:lnTo>
                  <a:pt x="175" y="83"/>
                </a:lnTo>
                <a:lnTo>
                  <a:pt x="171" y="83"/>
                </a:lnTo>
                <a:lnTo>
                  <a:pt x="168" y="93"/>
                </a:lnTo>
                <a:lnTo>
                  <a:pt x="169" y="100"/>
                </a:lnTo>
                <a:lnTo>
                  <a:pt x="168" y="105"/>
                </a:lnTo>
                <a:lnTo>
                  <a:pt x="164" y="109"/>
                </a:lnTo>
                <a:lnTo>
                  <a:pt x="155" y="108"/>
                </a:lnTo>
                <a:lnTo>
                  <a:pt x="151" y="105"/>
                </a:lnTo>
                <a:lnTo>
                  <a:pt x="148" y="97"/>
                </a:lnTo>
                <a:lnTo>
                  <a:pt x="144" y="95"/>
                </a:lnTo>
                <a:lnTo>
                  <a:pt x="146" y="100"/>
                </a:lnTo>
                <a:lnTo>
                  <a:pt x="141" y="104"/>
                </a:lnTo>
                <a:lnTo>
                  <a:pt x="138" y="109"/>
                </a:lnTo>
                <a:lnTo>
                  <a:pt x="139" y="115"/>
                </a:lnTo>
                <a:lnTo>
                  <a:pt x="135" y="120"/>
                </a:lnTo>
                <a:lnTo>
                  <a:pt x="135" y="125"/>
                </a:lnTo>
                <a:lnTo>
                  <a:pt x="130" y="123"/>
                </a:lnTo>
                <a:lnTo>
                  <a:pt x="126" y="121"/>
                </a:lnTo>
                <a:lnTo>
                  <a:pt x="123" y="115"/>
                </a:lnTo>
                <a:lnTo>
                  <a:pt x="120" y="120"/>
                </a:lnTo>
                <a:lnTo>
                  <a:pt x="116" y="121"/>
                </a:lnTo>
                <a:lnTo>
                  <a:pt x="113" y="127"/>
                </a:lnTo>
                <a:lnTo>
                  <a:pt x="113" y="129"/>
                </a:lnTo>
                <a:lnTo>
                  <a:pt x="110" y="135"/>
                </a:lnTo>
                <a:lnTo>
                  <a:pt x="106" y="129"/>
                </a:lnTo>
                <a:lnTo>
                  <a:pt x="94" y="124"/>
                </a:lnTo>
                <a:lnTo>
                  <a:pt x="90" y="127"/>
                </a:lnTo>
                <a:lnTo>
                  <a:pt x="84" y="127"/>
                </a:lnTo>
                <a:lnTo>
                  <a:pt x="85" y="132"/>
                </a:lnTo>
                <a:lnTo>
                  <a:pt x="81" y="135"/>
                </a:lnTo>
                <a:lnTo>
                  <a:pt x="80" y="128"/>
                </a:lnTo>
                <a:lnTo>
                  <a:pt x="76" y="132"/>
                </a:lnTo>
                <a:lnTo>
                  <a:pt x="68" y="129"/>
                </a:lnTo>
                <a:lnTo>
                  <a:pt x="70" y="135"/>
                </a:lnTo>
                <a:lnTo>
                  <a:pt x="67" y="140"/>
                </a:lnTo>
                <a:lnTo>
                  <a:pt x="63" y="140"/>
                </a:lnTo>
                <a:lnTo>
                  <a:pt x="63" y="141"/>
                </a:lnTo>
                <a:lnTo>
                  <a:pt x="61" y="147"/>
                </a:lnTo>
                <a:lnTo>
                  <a:pt x="59" y="152"/>
                </a:lnTo>
                <a:lnTo>
                  <a:pt x="59" y="159"/>
                </a:lnTo>
                <a:lnTo>
                  <a:pt x="63" y="164"/>
                </a:lnTo>
                <a:lnTo>
                  <a:pt x="60" y="169"/>
                </a:lnTo>
                <a:lnTo>
                  <a:pt x="52" y="172"/>
                </a:lnTo>
                <a:lnTo>
                  <a:pt x="47" y="176"/>
                </a:lnTo>
                <a:lnTo>
                  <a:pt x="43" y="177"/>
                </a:lnTo>
                <a:lnTo>
                  <a:pt x="42" y="183"/>
                </a:lnTo>
                <a:lnTo>
                  <a:pt x="43" y="189"/>
                </a:lnTo>
                <a:lnTo>
                  <a:pt x="46" y="195"/>
                </a:lnTo>
                <a:lnTo>
                  <a:pt x="47" y="200"/>
                </a:lnTo>
                <a:lnTo>
                  <a:pt x="44" y="207"/>
                </a:lnTo>
                <a:lnTo>
                  <a:pt x="40" y="205"/>
                </a:lnTo>
                <a:lnTo>
                  <a:pt x="37" y="203"/>
                </a:lnTo>
                <a:lnTo>
                  <a:pt x="29" y="199"/>
                </a:lnTo>
                <a:lnTo>
                  <a:pt x="25" y="196"/>
                </a:lnTo>
                <a:lnTo>
                  <a:pt x="20" y="196"/>
                </a:lnTo>
                <a:lnTo>
                  <a:pt x="16" y="197"/>
                </a:lnTo>
                <a:lnTo>
                  <a:pt x="10" y="208"/>
                </a:lnTo>
                <a:lnTo>
                  <a:pt x="10" y="213"/>
                </a:lnTo>
                <a:lnTo>
                  <a:pt x="13" y="217"/>
                </a:lnTo>
                <a:lnTo>
                  <a:pt x="13" y="221"/>
                </a:lnTo>
                <a:lnTo>
                  <a:pt x="13" y="228"/>
                </a:lnTo>
                <a:lnTo>
                  <a:pt x="14" y="236"/>
                </a:lnTo>
                <a:lnTo>
                  <a:pt x="10" y="240"/>
                </a:lnTo>
                <a:lnTo>
                  <a:pt x="12" y="245"/>
                </a:lnTo>
                <a:lnTo>
                  <a:pt x="10" y="253"/>
                </a:lnTo>
                <a:lnTo>
                  <a:pt x="6" y="251"/>
                </a:lnTo>
                <a:lnTo>
                  <a:pt x="1" y="253"/>
                </a:lnTo>
                <a:lnTo>
                  <a:pt x="0" y="261"/>
                </a:lnTo>
                <a:lnTo>
                  <a:pt x="0" y="261"/>
                </a:lnTo>
                <a:lnTo>
                  <a:pt x="0" y="261"/>
                </a:lnTo>
                <a:close/>
              </a:path>
            </a:pathLst>
          </a:custGeom>
          <a:solidFill>
            <a:srgbClr val="E75936">
              <a:alpha val="69760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2ECF62D8-FF6B-4322-9E76-49CD137B46EF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20">
        <xdr:nvSpPr>
          <xdr:cNvPr id="470" name="LA">
            <a:extLst>
              <a:ext uri="{FF2B5EF4-FFF2-40B4-BE49-F238E27FC236}">
                <a16:creationId xmlns:a16="http://schemas.microsoft.com/office/drawing/2014/main" id="{00000000-0008-0000-0100-0000D6010000}"/>
              </a:ext>
            </a:extLst>
          </xdr:cNvPr>
          <xdr:cNvSpPr>
            <a:spLocks/>
          </xdr:cNvSpPr>
        </xdr:nvSpPr>
        <xdr:spPr bwMode="auto">
          <a:xfrm>
            <a:off x="3919208" y="3472849"/>
            <a:ext cx="462243" cy="403972"/>
          </a:xfrm>
          <a:custGeom>
            <a:avLst/>
            <a:gdLst>
              <a:gd name="T0" fmla="*/ 15 w 290"/>
              <a:gd name="T1" fmla="*/ 123 h 343"/>
              <a:gd name="T2" fmla="*/ 23 w 290"/>
              <a:gd name="T3" fmla="*/ 150 h 343"/>
              <a:gd name="T4" fmla="*/ 32 w 290"/>
              <a:gd name="T5" fmla="*/ 178 h 343"/>
              <a:gd name="T6" fmla="*/ 28 w 290"/>
              <a:gd name="T7" fmla="*/ 204 h 343"/>
              <a:gd name="T8" fmla="*/ 21 w 290"/>
              <a:gd name="T9" fmla="*/ 238 h 343"/>
              <a:gd name="T10" fmla="*/ 19 w 290"/>
              <a:gd name="T11" fmla="*/ 270 h 343"/>
              <a:gd name="T12" fmla="*/ 15 w 290"/>
              <a:gd name="T13" fmla="*/ 291 h 343"/>
              <a:gd name="T14" fmla="*/ 40 w 290"/>
              <a:gd name="T15" fmla="*/ 282 h 343"/>
              <a:gd name="T16" fmla="*/ 50 w 290"/>
              <a:gd name="T17" fmla="*/ 279 h 343"/>
              <a:gd name="T18" fmla="*/ 62 w 290"/>
              <a:gd name="T19" fmla="*/ 290 h 343"/>
              <a:gd name="T20" fmla="*/ 106 w 290"/>
              <a:gd name="T21" fmla="*/ 304 h 343"/>
              <a:gd name="T22" fmla="*/ 114 w 290"/>
              <a:gd name="T23" fmla="*/ 287 h 343"/>
              <a:gd name="T24" fmla="*/ 128 w 290"/>
              <a:gd name="T25" fmla="*/ 287 h 343"/>
              <a:gd name="T26" fmla="*/ 147 w 290"/>
              <a:gd name="T27" fmla="*/ 302 h 343"/>
              <a:gd name="T28" fmla="*/ 163 w 290"/>
              <a:gd name="T29" fmla="*/ 295 h 343"/>
              <a:gd name="T30" fmla="*/ 170 w 290"/>
              <a:gd name="T31" fmla="*/ 315 h 343"/>
              <a:gd name="T32" fmla="*/ 186 w 290"/>
              <a:gd name="T33" fmla="*/ 334 h 343"/>
              <a:gd name="T34" fmla="*/ 199 w 290"/>
              <a:gd name="T35" fmla="*/ 324 h 343"/>
              <a:gd name="T36" fmla="*/ 212 w 290"/>
              <a:gd name="T37" fmla="*/ 320 h 343"/>
              <a:gd name="T38" fmla="*/ 226 w 290"/>
              <a:gd name="T39" fmla="*/ 332 h 343"/>
              <a:gd name="T40" fmla="*/ 232 w 290"/>
              <a:gd name="T41" fmla="*/ 304 h 343"/>
              <a:gd name="T42" fmla="*/ 242 w 290"/>
              <a:gd name="T43" fmla="*/ 302 h 343"/>
              <a:gd name="T44" fmla="*/ 253 w 290"/>
              <a:gd name="T45" fmla="*/ 311 h 343"/>
              <a:gd name="T46" fmla="*/ 269 w 290"/>
              <a:gd name="T47" fmla="*/ 327 h 343"/>
              <a:gd name="T48" fmla="*/ 269 w 290"/>
              <a:gd name="T49" fmla="*/ 343 h 343"/>
              <a:gd name="T50" fmla="*/ 285 w 290"/>
              <a:gd name="T51" fmla="*/ 331 h 343"/>
              <a:gd name="T52" fmla="*/ 286 w 290"/>
              <a:gd name="T53" fmla="*/ 318 h 343"/>
              <a:gd name="T54" fmla="*/ 263 w 290"/>
              <a:gd name="T55" fmla="*/ 304 h 343"/>
              <a:gd name="T56" fmla="*/ 254 w 290"/>
              <a:gd name="T57" fmla="*/ 286 h 343"/>
              <a:gd name="T58" fmla="*/ 256 w 290"/>
              <a:gd name="T59" fmla="*/ 275 h 343"/>
              <a:gd name="T60" fmla="*/ 267 w 290"/>
              <a:gd name="T61" fmla="*/ 260 h 343"/>
              <a:gd name="T62" fmla="*/ 255 w 290"/>
              <a:gd name="T63" fmla="*/ 258 h 343"/>
              <a:gd name="T64" fmla="*/ 240 w 290"/>
              <a:gd name="T65" fmla="*/ 255 h 343"/>
              <a:gd name="T66" fmla="*/ 245 w 290"/>
              <a:gd name="T67" fmla="*/ 244 h 343"/>
              <a:gd name="T68" fmla="*/ 231 w 290"/>
              <a:gd name="T69" fmla="*/ 248 h 343"/>
              <a:gd name="T70" fmla="*/ 210 w 290"/>
              <a:gd name="T71" fmla="*/ 236 h 343"/>
              <a:gd name="T72" fmla="*/ 234 w 290"/>
              <a:gd name="T73" fmla="*/ 232 h 343"/>
              <a:gd name="T74" fmla="*/ 251 w 290"/>
              <a:gd name="T75" fmla="*/ 239 h 343"/>
              <a:gd name="T76" fmla="*/ 252 w 290"/>
              <a:gd name="T77" fmla="*/ 232 h 343"/>
              <a:gd name="T78" fmla="*/ 241 w 290"/>
              <a:gd name="T79" fmla="*/ 206 h 343"/>
              <a:gd name="T80" fmla="*/ 242 w 290"/>
              <a:gd name="T81" fmla="*/ 168 h 343"/>
              <a:gd name="T82" fmla="*/ 137 w 290"/>
              <a:gd name="T83" fmla="*/ 166 h 343"/>
              <a:gd name="T84" fmla="*/ 138 w 290"/>
              <a:gd name="T85" fmla="*/ 143 h 343"/>
              <a:gd name="T86" fmla="*/ 142 w 290"/>
              <a:gd name="T87" fmla="*/ 124 h 343"/>
              <a:gd name="T88" fmla="*/ 150 w 290"/>
              <a:gd name="T89" fmla="*/ 102 h 343"/>
              <a:gd name="T90" fmla="*/ 163 w 290"/>
              <a:gd name="T91" fmla="*/ 82 h 343"/>
              <a:gd name="T92" fmla="*/ 160 w 290"/>
              <a:gd name="T93" fmla="*/ 68 h 343"/>
              <a:gd name="T94" fmla="*/ 171 w 290"/>
              <a:gd name="T95" fmla="*/ 58 h 343"/>
              <a:gd name="T96" fmla="*/ 160 w 290"/>
              <a:gd name="T97" fmla="*/ 43 h 343"/>
              <a:gd name="T98" fmla="*/ 156 w 290"/>
              <a:gd name="T99" fmla="*/ 32 h 343"/>
              <a:gd name="T100" fmla="*/ 159 w 290"/>
              <a:gd name="T101" fmla="*/ 6 h 343"/>
              <a:gd name="T102" fmla="*/ 66 w 290"/>
              <a:gd name="T103" fmla="*/ 7 h 3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290" h="343">
                <a:moveTo>
                  <a:pt x="0" y="11"/>
                </a:moveTo>
                <a:lnTo>
                  <a:pt x="2" y="98"/>
                </a:lnTo>
                <a:lnTo>
                  <a:pt x="9" y="107"/>
                </a:lnTo>
                <a:lnTo>
                  <a:pt x="11" y="112"/>
                </a:lnTo>
                <a:lnTo>
                  <a:pt x="15" y="123"/>
                </a:lnTo>
                <a:lnTo>
                  <a:pt x="14" y="131"/>
                </a:lnTo>
                <a:lnTo>
                  <a:pt x="17" y="136"/>
                </a:lnTo>
                <a:lnTo>
                  <a:pt x="19" y="143"/>
                </a:lnTo>
                <a:lnTo>
                  <a:pt x="21" y="144"/>
                </a:lnTo>
                <a:lnTo>
                  <a:pt x="23" y="150"/>
                </a:lnTo>
                <a:lnTo>
                  <a:pt x="23" y="155"/>
                </a:lnTo>
                <a:lnTo>
                  <a:pt x="29" y="166"/>
                </a:lnTo>
                <a:lnTo>
                  <a:pt x="31" y="167"/>
                </a:lnTo>
                <a:lnTo>
                  <a:pt x="31" y="172"/>
                </a:lnTo>
                <a:lnTo>
                  <a:pt x="32" y="178"/>
                </a:lnTo>
                <a:lnTo>
                  <a:pt x="30" y="182"/>
                </a:lnTo>
                <a:lnTo>
                  <a:pt x="31" y="187"/>
                </a:lnTo>
                <a:lnTo>
                  <a:pt x="30" y="192"/>
                </a:lnTo>
                <a:lnTo>
                  <a:pt x="31" y="199"/>
                </a:lnTo>
                <a:lnTo>
                  <a:pt x="28" y="204"/>
                </a:lnTo>
                <a:lnTo>
                  <a:pt x="27" y="210"/>
                </a:lnTo>
                <a:lnTo>
                  <a:pt x="24" y="215"/>
                </a:lnTo>
                <a:lnTo>
                  <a:pt x="22" y="220"/>
                </a:lnTo>
                <a:lnTo>
                  <a:pt x="23" y="231"/>
                </a:lnTo>
                <a:lnTo>
                  <a:pt x="21" y="238"/>
                </a:lnTo>
                <a:lnTo>
                  <a:pt x="23" y="244"/>
                </a:lnTo>
                <a:lnTo>
                  <a:pt x="25" y="258"/>
                </a:lnTo>
                <a:lnTo>
                  <a:pt x="23" y="264"/>
                </a:lnTo>
                <a:lnTo>
                  <a:pt x="19" y="270"/>
                </a:lnTo>
                <a:lnTo>
                  <a:pt x="19" y="270"/>
                </a:lnTo>
                <a:lnTo>
                  <a:pt x="19" y="270"/>
                </a:lnTo>
                <a:lnTo>
                  <a:pt x="21" y="276"/>
                </a:lnTo>
                <a:lnTo>
                  <a:pt x="19" y="282"/>
                </a:lnTo>
                <a:lnTo>
                  <a:pt x="15" y="284"/>
                </a:lnTo>
                <a:lnTo>
                  <a:pt x="15" y="291"/>
                </a:lnTo>
                <a:lnTo>
                  <a:pt x="19" y="295"/>
                </a:lnTo>
                <a:lnTo>
                  <a:pt x="23" y="291"/>
                </a:lnTo>
                <a:lnTo>
                  <a:pt x="43" y="288"/>
                </a:lnTo>
                <a:lnTo>
                  <a:pt x="44" y="286"/>
                </a:lnTo>
                <a:lnTo>
                  <a:pt x="40" y="282"/>
                </a:lnTo>
                <a:lnTo>
                  <a:pt x="44" y="278"/>
                </a:lnTo>
                <a:lnTo>
                  <a:pt x="45" y="263"/>
                </a:lnTo>
                <a:lnTo>
                  <a:pt x="49" y="268"/>
                </a:lnTo>
                <a:lnTo>
                  <a:pt x="50" y="274"/>
                </a:lnTo>
                <a:lnTo>
                  <a:pt x="50" y="279"/>
                </a:lnTo>
                <a:lnTo>
                  <a:pt x="46" y="282"/>
                </a:lnTo>
                <a:lnTo>
                  <a:pt x="45" y="284"/>
                </a:lnTo>
                <a:lnTo>
                  <a:pt x="49" y="287"/>
                </a:lnTo>
                <a:lnTo>
                  <a:pt x="53" y="287"/>
                </a:lnTo>
                <a:lnTo>
                  <a:pt x="62" y="290"/>
                </a:lnTo>
                <a:lnTo>
                  <a:pt x="70" y="294"/>
                </a:lnTo>
                <a:lnTo>
                  <a:pt x="74" y="298"/>
                </a:lnTo>
                <a:lnTo>
                  <a:pt x="82" y="300"/>
                </a:lnTo>
                <a:lnTo>
                  <a:pt x="102" y="304"/>
                </a:lnTo>
                <a:lnTo>
                  <a:pt x="106" y="304"/>
                </a:lnTo>
                <a:lnTo>
                  <a:pt x="112" y="300"/>
                </a:lnTo>
                <a:lnTo>
                  <a:pt x="116" y="300"/>
                </a:lnTo>
                <a:lnTo>
                  <a:pt x="114" y="291"/>
                </a:lnTo>
                <a:lnTo>
                  <a:pt x="110" y="287"/>
                </a:lnTo>
                <a:lnTo>
                  <a:pt x="114" y="287"/>
                </a:lnTo>
                <a:lnTo>
                  <a:pt x="116" y="284"/>
                </a:lnTo>
                <a:lnTo>
                  <a:pt x="120" y="282"/>
                </a:lnTo>
                <a:lnTo>
                  <a:pt x="128" y="278"/>
                </a:lnTo>
                <a:lnTo>
                  <a:pt x="127" y="284"/>
                </a:lnTo>
                <a:lnTo>
                  <a:pt x="128" y="287"/>
                </a:lnTo>
                <a:lnTo>
                  <a:pt x="132" y="286"/>
                </a:lnTo>
                <a:lnTo>
                  <a:pt x="140" y="284"/>
                </a:lnTo>
                <a:lnTo>
                  <a:pt x="141" y="291"/>
                </a:lnTo>
                <a:lnTo>
                  <a:pt x="145" y="294"/>
                </a:lnTo>
                <a:lnTo>
                  <a:pt x="147" y="302"/>
                </a:lnTo>
                <a:lnTo>
                  <a:pt x="151" y="302"/>
                </a:lnTo>
                <a:lnTo>
                  <a:pt x="159" y="304"/>
                </a:lnTo>
                <a:lnTo>
                  <a:pt x="162" y="299"/>
                </a:lnTo>
                <a:lnTo>
                  <a:pt x="163" y="299"/>
                </a:lnTo>
                <a:lnTo>
                  <a:pt x="163" y="295"/>
                </a:lnTo>
                <a:lnTo>
                  <a:pt x="164" y="300"/>
                </a:lnTo>
                <a:lnTo>
                  <a:pt x="163" y="300"/>
                </a:lnTo>
                <a:lnTo>
                  <a:pt x="163" y="307"/>
                </a:lnTo>
                <a:lnTo>
                  <a:pt x="165" y="312"/>
                </a:lnTo>
                <a:lnTo>
                  <a:pt x="170" y="315"/>
                </a:lnTo>
                <a:lnTo>
                  <a:pt x="172" y="322"/>
                </a:lnTo>
                <a:lnTo>
                  <a:pt x="171" y="327"/>
                </a:lnTo>
                <a:lnTo>
                  <a:pt x="174" y="330"/>
                </a:lnTo>
                <a:lnTo>
                  <a:pt x="178" y="327"/>
                </a:lnTo>
                <a:lnTo>
                  <a:pt x="186" y="334"/>
                </a:lnTo>
                <a:lnTo>
                  <a:pt x="190" y="331"/>
                </a:lnTo>
                <a:lnTo>
                  <a:pt x="192" y="331"/>
                </a:lnTo>
                <a:lnTo>
                  <a:pt x="196" y="335"/>
                </a:lnTo>
                <a:lnTo>
                  <a:pt x="199" y="332"/>
                </a:lnTo>
                <a:lnTo>
                  <a:pt x="199" y="324"/>
                </a:lnTo>
                <a:lnTo>
                  <a:pt x="200" y="319"/>
                </a:lnTo>
                <a:lnTo>
                  <a:pt x="205" y="318"/>
                </a:lnTo>
                <a:lnTo>
                  <a:pt x="209" y="316"/>
                </a:lnTo>
                <a:lnTo>
                  <a:pt x="211" y="315"/>
                </a:lnTo>
                <a:lnTo>
                  <a:pt x="212" y="320"/>
                </a:lnTo>
                <a:lnTo>
                  <a:pt x="216" y="319"/>
                </a:lnTo>
                <a:lnTo>
                  <a:pt x="221" y="320"/>
                </a:lnTo>
                <a:lnTo>
                  <a:pt x="220" y="328"/>
                </a:lnTo>
                <a:lnTo>
                  <a:pt x="222" y="334"/>
                </a:lnTo>
                <a:lnTo>
                  <a:pt x="226" y="332"/>
                </a:lnTo>
                <a:lnTo>
                  <a:pt x="230" y="328"/>
                </a:lnTo>
                <a:lnTo>
                  <a:pt x="232" y="323"/>
                </a:lnTo>
                <a:lnTo>
                  <a:pt x="229" y="318"/>
                </a:lnTo>
                <a:lnTo>
                  <a:pt x="233" y="315"/>
                </a:lnTo>
                <a:lnTo>
                  <a:pt x="232" y="304"/>
                </a:lnTo>
                <a:lnTo>
                  <a:pt x="224" y="299"/>
                </a:lnTo>
                <a:lnTo>
                  <a:pt x="223" y="294"/>
                </a:lnTo>
                <a:lnTo>
                  <a:pt x="223" y="292"/>
                </a:lnTo>
                <a:lnTo>
                  <a:pt x="238" y="300"/>
                </a:lnTo>
                <a:lnTo>
                  <a:pt x="242" y="302"/>
                </a:lnTo>
                <a:lnTo>
                  <a:pt x="246" y="304"/>
                </a:lnTo>
                <a:lnTo>
                  <a:pt x="248" y="307"/>
                </a:lnTo>
                <a:lnTo>
                  <a:pt x="245" y="312"/>
                </a:lnTo>
                <a:lnTo>
                  <a:pt x="249" y="312"/>
                </a:lnTo>
                <a:lnTo>
                  <a:pt x="253" y="311"/>
                </a:lnTo>
                <a:lnTo>
                  <a:pt x="256" y="316"/>
                </a:lnTo>
                <a:lnTo>
                  <a:pt x="261" y="318"/>
                </a:lnTo>
                <a:lnTo>
                  <a:pt x="265" y="316"/>
                </a:lnTo>
                <a:lnTo>
                  <a:pt x="266" y="322"/>
                </a:lnTo>
                <a:lnTo>
                  <a:pt x="269" y="327"/>
                </a:lnTo>
                <a:lnTo>
                  <a:pt x="273" y="328"/>
                </a:lnTo>
                <a:lnTo>
                  <a:pt x="273" y="322"/>
                </a:lnTo>
                <a:lnTo>
                  <a:pt x="275" y="327"/>
                </a:lnTo>
                <a:lnTo>
                  <a:pt x="273" y="332"/>
                </a:lnTo>
                <a:lnTo>
                  <a:pt x="269" y="343"/>
                </a:lnTo>
                <a:lnTo>
                  <a:pt x="273" y="338"/>
                </a:lnTo>
                <a:lnTo>
                  <a:pt x="275" y="334"/>
                </a:lnTo>
                <a:lnTo>
                  <a:pt x="278" y="327"/>
                </a:lnTo>
                <a:lnTo>
                  <a:pt x="284" y="336"/>
                </a:lnTo>
                <a:lnTo>
                  <a:pt x="285" y="331"/>
                </a:lnTo>
                <a:lnTo>
                  <a:pt x="287" y="326"/>
                </a:lnTo>
                <a:lnTo>
                  <a:pt x="286" y="322"/>
                </a:lnTo>
                <a:lnTo>
                  <a:pt x="290" y="320"/>
                </a:lnTo>
                <a:lnTo>
                  <a:pt x="290" y="319"/>
                </a:lnTo>
                <a:lnTo>
                  <a:pt x="286" y="318"/>
                </a:lnTo>
                <a:lnTo>
                  <a:pt x="284" y="312"/>
                </a:lnTo>
                <a:lnTo>
                  <a:pt x="280" y="308"/>
                </a:lnTo>
                <a:lnTo>
                  <a:pt x="272" y="307"/>
                </a:lnTo>
                <a:lnTo>
                  <a:pt x="268" y="304"/>
                </a:lnTo>
                <a:lnTo>
                  <a:pt x="263" y="304"/>
                </a:lnTo>
                <a:lnTo>
                  <a:pt x="261" y="299"/>
                </a:lnTo>
                <a:lnTo>
                  <a:pt x="256" y="296"/>
                </a:lnTo>
                <a:lnTo>
                  <a:pt x="251" y="294"/>
                </a:lnTo>
                <a:lnTo>
                  <a:pt x="250" y="288"/>
                </a:lnTo>
                <a:lnTo>
                  <a:pt x="254" y="286"/>
                </a:lnTo>
                <a:lnTo>
                  <a:pt x="253" y="283"/>
                </a:lnTo>
                <a:lnTo>
                  <a:pt x="257" y="282"/>
                </a:lnTo>
                <a:lnTo>
                  <a:pt x="261" y="284"/>
                </a:lnTo>
                <a:lnTo>
                  <a:pt x="258" y="280"/>
                </a:lnTo>
                <a:lnTo>
                  <a:pt x="256" y="275"/>
                </a:lnTo>
                <a:lnTo>
                  <a:pt x="261" y="270"/>
                </a:lnTo>
                <a:lnTo>
                  <a:pt x="265" y="270"/>
                </a:lnTo>
                <a:lnTo>
                  <a:pt x="266" y="272"/>
                </a:lnTo>
                <a:lnTo>
                  <a:pt x="267" y="266"/>
                </a:lnTo>
                <a:lnTo>
                  <a:pt x="267" y="260"/>
                </a:lnTo>
                <a:lnTo>
                  <a:pt x="263" y="258"/>
                </a:lnTo>
                <a:lnTo>
                  <a:pt x="263" y="252"/>
                </a:lnTo>
                <a:lnTo>
                  <a:pt x="262" y="247"/>
                </a:lnTo>
                <a:lnTo>
                  <a:pt x="255" y="252"/>
                </a:lnTo>
                <a:lnTo>
                  <a:pt x="255" y="258"/>
                </a:lnTo>
                <a:lnTo>
                  <a:pt x="253" y="263"/>
                </a:lnTo>
                <a:lnTo>
                  <a:pt x="249" y="263"/>
                </a:lnTo>
                <a:lnTo>
                  <a:pt x="247" y="258"/>
                </a:lnTo>
                <a:lnTo>
                  <a:pt x="243" y="259"/>
                </a:lnTo>
                <a:lnTo>
                  <a:pt x="240" y="255"/>
                </a:lnTo>
                <a:lnTo>
                  <a:pt x="240" y="254"/>
                </a:lnTo>
                <a:lnTo>
                  <a:pt x="249" y="247"/>
                </a:lnTo>
                <a:lnTo>
                  <a:pt x="251" y="242"/>
                </a:lnTo>
                <a:lnTo>
                  <a:pt x="250" y="240"/>
                </a:lnTo>
                <a:lnTo>
                  <a:pt x="245" y="244"/>
                </a:lnTo>
                <a:lnTo>
                  <a:pt x="245" y="239"/>
                </a:lnTo>
                <a:lnTo>
                  <a:pt x="242" y="244"/>
                </a:lnTo>
                <a:lnTo>
                  <a:pt x="238" y="242"/>
                </a:lnTo>
                <a:lnTo>
                  <a:pt x="235" y="247"/>
                </a:lnTo>
                <a:lnTo>
                  <a:pt x="231" y="248"/>
                </a:lnTo>
                <a:lnTo>
                  <a:pt x="219" y="250"/>
                </a:lnTo>
                <a:lnTo>
                  <a:pt x="212" y="250"/>
                </a:lnTo>
                <a:lnTo>
                  <a:pt x="207" y="247"/>
                </a:lnTo>
                <a:lnTo>
                  <a:pt x="207" y="242"/>
                </a:lnTo>
                <a:lnTo>
                  <a:pt x="210" y="236"/>
                </a:lnTo>
                <a:lnTo>
                  <a:pt x="216" y="224"/>
                </a:lnTo>
                <a:lnTo>
                  <a:pt x="220" y="223"/>
                </a:lnTo>
                <a:lnTo>
                  <a:pt x="226" y="224"/>
                </a:lnTo>
                <a:lnTo>
                  <a:pt x="230" y="228"/>
                </a:lnTo>
                <a:lnTo>
                  <a:pt x="234" y="232"/>
                </a:lnTo>
                <a:lnTo>
                  <a:pt x="238" y="232"/>
                </a:lnTo>
                <a:lnTo>
                  <a:pt x="241" y="235"/>
                </a:lnTo>
                <a:lnTo>
                  <a:pt x="242" y="234"/>
                </a:lnTo>
                <a:lnTo>
                  <a:pt x="246" y="238"/>
                </a:lnTo>
                <a:lnTo>
                  <a:pt x="251" y="239"/>
                </a:lnTo>
                <a:lnTo>
                  <a:pt x="252" y="238"/>
                </a:lnTo>
                <a:lnTo>
                  <a:pt x="252" y="239"/>
                </a:lnTo>
                <a:lnTo>
                  <a:pt x="257" y="236"/>
                </a:lnTo>
                <a:lnTo>
                  <a:pt x="255" y="235"/>
                </a:lnTo>
                <a:lnTo>
                  <a:pt x="252" y="232"/>
                </a:lnTo>
                <a:lnTo>
                  <a:pt x="250" y="227"/>
                </a:lnTo>
                <a:lnTo>
                  <a:pt x="250" y="224"/>
                </a:lnTo>
                <a:lnTo>
                  <a:pt x="248" y="219"/>
                </a:lnTo>
                <a:lnTo>
                  <a:pt x="247" y="212"/>
                </a:lnTo>
                <a:lnTo>
                  <a:pt x="241" y="206"/>
                </a:lnTo>
                <a:lnTo>
                  <a:pt x="238" y="200"/>
                </a:lnTo>
                <a:lnTo>
                  <a:pt x="237" y="195"/>
                </a:lnTo>
                <a:lnTo>
                  <a:pt x="238" y="186"/>
                </a:lnTo>
                <a:lnTo>
                  <a:pt x="241" y="174"/>
                </a:lnTo>
                <a:lnTo>
                  <a:pt x="242" y="168"/>
                </a:lnTo>
                <a:lnTo>
                  <a:pt x="241" y="167"/>
                </a:lnTo>
                <a:lnTo>
                  <a:pt x="190" y="172"/>
                </a:lnTo>
                <a:lnTo>
                  <a:pt x="135" y="176"/>
                </a:lnTo>
                <a:lnTo>
                  <a:pt x="139" y="171"/>
                </a:lnTo>
                <a:lnTo>
                  <a:pt x="137" y="166"/>
                </a:lnTo>
                <a:lnTo>
                  <a:pt x="137" y="160"/>
                </a:lnTo>
                <a:lnTo>
                  <a:pt x="135" y="154"/>
                </a:lnTo>
                <a:lnTo>
                  <a:pt x="141" y="152"/>
                </a:lnTo>
                <a:lnTo>
                  <a:pt x="142" y="148"/>
                </a:lnTo>
                <a:lnTo>
                  <a:pt x="138" y="143"/>
                </a:lnTo>
                <a:lnTo>
                  <a:pt x="143" y="142"/>
                </a:lnTo>
                <a:lnTo>
                  <a:pt x="141" y="131"/>
                </a:lnTo>
                <a:lnTo>
                  <a:pt x="145" y="127"/>
                </a:lnTo>
                <a:lnTo>
                  <a:pt x="146" y="124"/>
                </a:lnTo>
                <a:lnTo>
                  <a:pt x="142" y="124"/>
                </a:lnTo>
                <a:lnTo>
                  <a:pt x="146" y="120"/>
                </a:lnTo>
                <a:lnTo>
                  <a:pt x="147" y="115"/>
                </a:lnTo>
                <a:lnTo>
                  <a:pt x="151" y="110"/>
                </a:lnTo>
                <a:lnTo>
                  <a:pt x="148" y="107"/>
                </a:lnTo>
                <a:lnTo>
                  <a:pt x="150" y="102"/>
                </a:lnTo>
                <a:lnTo>
                  <a:pt x="153" y="100"/>
                </a:lnTo>
                <a:lnTo>
                  <a:pt x="163" y="86"/>
                </a:lnTo>
                <a:lnTo>
                  <a:pt x="163" y="84"/>
                </a:lnTo>
                <a:lnTo>
                  <a:pt x="159" y="83"/>
                </a:lnTo>
                <a:lnTo>
                  <a:pt x="163" y="82"/>
                </a:lnTo>
                <a:lnTo>
                  <a:pt x="163" y="80"/>
                </a:lnTo>
                <a:lnTo>
                  <a:pt x="166" y="74"/>
                </a:lnTo>
                <a:lnTo>
                  <a:pt x="162" y="75"/>
                </a:lnTo>
                <a:lnTo>
                  <a:pt x="158" y="74"/>
                </a:lnTo>
                <a:lnTo>
                  <a:pt x="160" y="68"/>
                </a:lnTo>
                <a:lnTo>
                  <a:pt x="165" y="66"/>
                </a:lnTo>
                <a:lnTo>
                  <a:pt x="168" y="60"/>
                </a:lnTo>
                <a:lnTo>
                  <a:pt x="171" y="60"/>
                </a:lnTo>
                <a:lnTo>
                  <a:pt x="171" y="59"/>
                </a:lnTo>
                <a:lnTo>
                  <a:pt x="171" y="58"/>
                </a:lnTo>
                <a:lnTo>
                  <a:pt x="167" y="56"/>
                </a:lnTo>
                <a:lnTo>
                  <a:pt x="165" y="52"/>
                </a:lnTo>
                <a:lnTo>
                  <a:pt x="161" y="50"/>
                </a:lnTo>
                <a:lnTo>
                  <a:pt x="159" y="44"/>
                </a:lnTo>
                <a:lnTo>
                  <a:pt x="160" y="43"/>
                </a:lnTo>
                <a:lnTo>
                  <a:pt x="164" y="44"/>
                </a:lnTo>
                <a:lnTo>
                  <a:pt x="161" y="39"/>
                </a:lnTo>
                <a:lnTo>
                  <a:pt x="164" y="34"/>
                </a:lnTo>
                <a:lnTo>
                  <a:pt x="157" y="36"/>
                </a:lnTo>
                <a:lnTo>
                  <a:pt x="156" y="32"/>
                </a:lnTo>
                <a:lnTo>
                  <a:pt x="161" y="26"/>
                </a:lnTo>
                <a:lnTo>
                  <a:pt x="156" y="22"/>
                </a:lnTo>
                <a:lnTo>
                  <a:pt x="155" y="16"/>
                </a:lnTo>
                <a:lnTo>
                  <a:pt x="159" y="11"/>
                </a:lnTo>
                <a:lnTo>
                  <a:pt x="159" y="6"/>
                </a:lnTo>
                <a:lnTo>
                  <a:pt x="155" y="6"/>
                </a:lnTo>
                <a:lnTo>
                  <a:pt x="151" y="8"/>
                </a:lnTo>
                <a:lnTo>
                  <a:pt x="152" y="3"/>
                </a:lnTo>
                <a:lnTo>
                  <a:pt x="154" y="0"/>
                </a:lnTo>
                <a:lnTo>
                  <a:pt x="66" y="7"/>
                </a:lnTo>
                <a:lnTo>
                  <a:pt x="0" y="11"/>
                </a:lnTo>
                <a:lnTo>
                  <a:pt x="0" y="11"/>
                </a:lnTo>
                <a:lnTo>
                  <a:pt x="0" y="11"/>
                </a:lnTo>
                <a:close/>
              </a:path>
            </a:pathLst>
          </a:custGeom>
          <a:solidFill>
            <a:srgbClr val="E75936">
              <a:alpha val="29976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8061B229-6741-40D9-9C3B-2034AB26CC51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28">
        <xdr:nvSpPr>
          <xdr:cNvPr id="449" name="MT">
            <a:extLst>
              <a:ext uri="{FF2B5EF4-FFF2-40B4-BE49-F238E27FC236}">
                <a16:creationId xmlns:a16="http://schemas.microsoft.com/office/drawing/2014/main" id="{00000000-0008-0000-0100-0000C1010000}"/>
              </a:ext>
            </a:extLst>
          </xdr:cNvPr>
          <xdr:cNvSpPr>
            <a:spLocks/>
          </xdr:cNvSpPr>
        </xdr:nvSpPr>
        <xdr:spPr bwMode="auto">
          <a:xfrm>
            <a:off x="2312578" y="1718568"/>
            <a:ext cx="849113" cy="518272"/>
          </a:xfrm>
          <a:custGeom>
            <a:avLst/>
            <a:gdLst>
              <a:gd name="T0" fmla="*/ 12 w 525"/>
              <a:gd name="T1" fmla="*/ 132 h 435"/>
              <a:gd name="T2" fmla="*/ 14 w 525"/>
              <a:gd name="T3" fmla="*/ 144 h 435"/>
              <a:gd name="T4" fmla="*/ 22 w 525"/>
              <a:gd name="T5" fmla="*/ 154 h 435"/>
              <a:gd name="T6" fmla="*/ 26 w 525"/>
              <a:gd name="T7" fmla="*/ 165 h 435"/>
              <a:gd name="T8" fmla="*/ 33 w 525"/>
              <a:gd name="T9" fmla="*/ 181 h 435"/>
              <a:gd name="T10" fmla="*/ 35 w 525"/>
              <a:gd name="T11" fmla="*/ 189 h 435"/>
              <a:gd name="T12" fmla="*/ 40 w 525"/>
              <a:gd name="T13" fmla="*/ 199 h 435"/>
              <a:gd name="T14" fmla="*/ 46 w 525"/>
              <a:gd name="T15" fmla="*/ 206 h 435"/>
              <a:gd name="T16" fmla="*/ 49 w 525"/>
              <a:gd name="T17" fmla="*/ 214 h 435"/>
              <a:gd name="T18" fmla="*/ 59 w 525"/>
              <a:gd name="T19" fmla="*/ 215 h 435"/>
              <a:gd name="T20" fmla="*/ 50 w 525"/>
              <a:gd name="T21" fmla="*/ 243 h 435"/>
              <a:gd name="T22" fmla="*/ 46 w 525"/>
              <a:gd name="T23" fmla="*/ 254 h 435"/>
              <a:gd name="T24" fmla="*/ 45 w 525"/>
              <a:gd name="T25" fmla="*/ 266 h 435"/>
              <a:gd name="T26" fmla="*/ 46 w 525"/>
              <a:gd name="T27" fmla="*/ 282 h 435"/>
              <a:gd name="T28" fmla="*/ 39 w 525"/>
              <a:gd name="T29" fmla="*/ 289 h 435"/>
              <a:gd name="T30" fmla="*/ 37 w 525"/>
              <a:gd name="T31" fmla="*/ 299 h 435"/>
              <a:gd name="T32" fmla="*/ 41 w 525"/>
              <a:gd name="T33" fmla="*/ 307 h 435"/>
              <a:gd name="T34" fmla="*/ 49 w 525"/>
              <a:gd name="T35" fmla="*/ 314 h 435"/>
              <a:gd name="T36" fmla="*/ 66 w 525"/>
              <a:gd name="T37" fmla="*/ 306 h 435"/>
              <a:gd name="T38" fmla="*/ 70 w 525"/>
              <a:gd name="T39" fmla="*/ 323 h 435"/>
              <a:gd name="T40" fmla="*/ 75 w 525"/>
              <a:gd name="T41" fmla="*/ 349 h 435"/>
              <a:gd name="T42" fmla="*/ 79 w 525"/>
              <a:gd name="T43" fmla="*/ 361 h 435"/>
              <a:gd name="T44" fmla="*/ 78 w 525"/>
              <a:gd name="T45" fmla="*/ 373 h 435"/>
              <a:gd name="T46" fmla="*/ 82 w 525"/>
              <a:gd name="T47" fmla="*/ 385 h 435"/>
              <a:gd name="T48" fmla="*/ 91 w 525"/>
              <a:gd name="T49" fmla="*/ 387 h 435"/>
              <a:gd name="T50" fmla="*/ 92 w 525"/>
              <a:gd name="T51" fmla="*/ 403 h 435"/>
              <a:gd name="T52" fmla="*/ 94 w 525"/>
              <a:gd name="T53" fmla="*/ 414 h 435"/>
              <a:gd name="T54" fmla="*/ 100 w 525"/>
              <a:gd name="T55" fmla="*/ 425 h 435"/>
              <a:gd name="T56" fmla="*/ 103 w 525"/>
              <a:gd name="T57" fmla="*/ 418 h 435"/>
              <a:gd name="T58" fmla="*/ 115 w 525"/>
              <a:gd name="T59" fmla="*/ 418 h 435"/>
              <a:gd name="T60" fmla="*/ 123 w 525"/>
              <a:gd name="T61" fmla="*/ 419 h 435"/>
              <a:gd name="T62" fmla="*/ 130 w 525"/>
              <a:gd name="T63" fmla="*/ 414 h 435"/>
              <a:gd name="T64" fmla="*/ 146 w 525"/>
              <a:gd name="T65" fmla="*/ 418 h 435"/>
              <a:gd name="T66" fmla="*/ 155 w 525"/>
              <a:gd name="T67" fmla="*/ 419 h 435"/>
              <a:gd name="T68" fmla="*/ 163 w 525"/>
              <a:gd name="T69" fmla="*/ 419 h 435"/>
              <a:gd name="T70" fmla="*/ 173 w 525"/>
              <a:gd name="T71" fmla="*/ 410 h 435"/>
              <a:gd name="T72" fmla="*/ 179 w 525"/>
              <a:gd name="T73" fmla="*/ 426 h 435"/>
              <a:gd name="T74" fmla="*/ 187 w 525"/>
              <a:gd name="T75" fmla="*/ 393 h 435"/>
              <a:gd name="T76" fmla="*/ 274 w 525"/>
              <a:gd name="T77" fmla="*/ 405 h 435"/>
              <a:gd name="T78" fmla="*/ 445 w 525"/>
              <a:gd name="T79" fmla="*/ 429 h 435"/>
              <a:gd name="T80" fmla="*/ 508 w 525"/>
              <a:gd name="T81" fmla="*/ 429 h 435"/>
              <a:gd name="T82" fmla="*/ 525 w 525"/>
              <a:gd name="T83" fmla="*/ 96 h 435"/>
              <a:gd name="T84" fmla="*/ 494 w 525"/>
              <a:gd name="T85" fmla="*/ 90 h 435"/>
              <a:gd name="T86" fmla="*/ 345 w 525"/>
              <a:gd name="T87" fmla="*/ 70 h 435"/>
              <a:gd name="T88" fmla="*/ 185 w 525"/>
              <a:gd name="T89" fmla="*/ 41 h 435"/>
              <a:gd name="T90" fmla="*/ 13 w 525"/>
              <a:gd name="T91" fmla="*/ 0 h 435"/>
              <a:gd name="T92" fmla="*/ 0 w 525"/>
              <a:gd name="T93" fmla="*/ 85 h 435"/>
              <a:gd name="T94" fmla="*/ 7 w 525"/>
              <a:gd name="T95" fmla="*/ 104 h 435"/>
              <a:gd name="T96" fmla="*/ 11 w 525"/>
              <a:gd name="T97" fmla="*/ 121 h 435"/>
              <a:gd name="T98" fmla="*/ 9 w 525"/>
              <a:gd name="T99" fmla="*/ 126 h 4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</a:cxnLst>
            <a:rect l="0" t="0" r="r" b="b"/>
            <a:pathLst>
              <a:path w="525" h="435">
                <a:moveTo>
                  <a:pt x="9" y="126"/>
                </a:moveTo>
                <a:lnTo>
                  <a:pt x="12" y="132"/>
                </a:lnTo>
                <a:lnTo>
                  <a:pt x="7" y="133"/>
                </a:lnTo>
                <a:lnTo>
                  <a:pt x="14" y="144"/>
                </a:lnTo>
                <a:lnTo>
                  <a:pt x="16" y="149"/>
                </a:lnTo>
                <a:lnTo>
                  <a:pt x="22" y="154"/>
                </a:lnTo>
                <a:lnTo>
                  <a:pt x="23" y="160"/>
                </a:lnTo>
                <a:lnTo>
                  <a:pt x="26" y="165"/>
                </a:lnTo>
                <a:lnTo>
                  <a:pt x="28" y="170"/>
                </a:lnTo>
                <a:lnTo>
                  <a:pt x="33" y="181"/>
                </a:lnTo>
                <a:lnTo>
                  <a:pt x="36" y="186"/>
                </a:lnTo>
                <a:lnTo>
                  <a:pt x="35" y="189"/>
                </a:lnTo>
                <a:lnTo>
                  <a:pt x="36" y="195"/>
                </a:lnTo>
                <a:lnTo>
                  <a:pt x="40" y="199"/>
                </a:lnTo>
                <a:lnTo>
                  <a:pt x="42" y="206"/>
                </a:lnTo>
                <a:lnTo>
                  <a:pt x="46" y="206"/>
                </a:lnTo>
                <a:lnTo>
                  <a:pt x="45" y="211"/>
                </a:lnTo>
                <a:lnTo>
                  <a:pt x="49" y="214"/>
                </a:lnTo>
                <a:lnTo>
                  <a:pt x="55" y="214"/>
                </a:lnTo>
                <a:lnTo>
                  <a:pt x="59" y="215"/>
                </a:lnTo>
                <a:lnTo>
                  <a:pt x="54" y="233"/>
                </a:lnTo>
                <a:lnTo>
                  <a:pt x="50" y="243"/>
                </a:lnTo>
                <a:lnTo>
                  <a:pt x="49" y="249"/>
                </a:lnTo>
                <a:lnTo>
                  <a:pt x="46" y="254"/>
                </a:lnTo>
                <a:lnTo>
                  <a:pt x="47" y="259"/>
                </a:lnTo>
                <a:lnTo>
                  <a:pt x="45" y="266"/>
                </a:lnTo>
                <a:lnTo>
                  <a:pt x="47" y="271"/>
                </a:lnTo>
                <a:lnTo>
                  <a:pt x="46" y="282"/>
                </a:lnTo>
                <a:lnTo>
                  <a:pt x="42" y="283"/>
                </a:lnTo>
                <a:lnTo>
                  <a:pt x="39" y="289"/>
                </a:lnTo>
                <a:lnTo>
                  <a:pt x="40" y="294"/>
                </a:lnTo>
                <a:lnTo>
                  <a:pt x="37" y="299"/>
                </a:lnTo>
                <a:lnTo>
                  <a:pt x="36" y="306"/>
                </a:lnTo>
                <a:lnTo>
                  <a:pt x="41" y="307"/>
                </a:lnTo>
                <a:lnTo>
                  <a:pt x="45" y="315"/>
                </a:lnTo>
                <a:lnTo>
                  <a:pt x="49" y="314"/>
                </a:lnTo>
                <a:lnTo>
                  <a:pt x="65" y="302"/>
                </a:lnTo>
                <a:lnTo>
                  <a:pt x="66" y="306"/>
                </a:lnTo>
                <a:lnTo>
                  <a:pt x="70" y="311"/>
                </a:lnTo>
                <a:lnTo>
                  <a:pt x="70" y="323"/>
                </a:lnTo>
                <a:lnTo>
                  <a:pt x="72" y="338"/>
                </a:lnTo>
                <a:lnTo>
                  <a:pt x="75" y="349"/>
                </a:lnTo>
                <a:lnTo>
                  <a:pt x="78" y="354"/>
                </a:lnTo>
                <a:lnTo>
                  <a:pt x="79" y="361"/>
                </a:lnTo>
                <a:lnTo>
                  <a:pt x="80" y="366"/>
                </a:lnTo>
                <a:lnTo>
                  <a:pt x="78" y="373"/>
                </a:lnTo>
                <a:lnTo>
                  <a:pt x="79" y="379"/>
                </a:lnTo>
                <a:lnTo>
                  <a:pt x="82" y="385"/>
                </a:lnTo>
                <a:lnTo>
                  <a:pt x="87" y="382"/>
                </a:lnTo>
                <a:lnTo>
                  <a:pt x="91" y="387"/>
                </a:lnTo>
                <a:lnTo>
                  <a:pt x="93" y="398"/>
                </a:lnTo>
                <a:lnTo>
                  <a:pt x="92" y="403"/>
                </a:lnTo>
                <a:lnTo>
                  <a:pt x="95" y="409"/>
                </a:lnTo>
                <a:lnTo>
                  <a:pt x="94" y="414"/>
                </a:lnTo>
                <a:lnTo>
                  <a:pt x="96" y="419"/>
                </a:lnTo>
                <a:lnTo>
                  <a:pt x="100" y="425"/>
                </a:lnTo>
                <a:lnTo>
                  <a:pt x="102" y="423"/>
                </a:lnTo>
                <a:lnTo>
                  <a:pt x="103" y="418"/>
                </a:lnTo>
                <a:lnTo>
                  <a:pt x="107" y="415"/>
                </a:lnTo>
                <a:lnTo>
                  <a:pt x="115" y="418"/>
                </a:lnTo>
                <a:lnTo>
                  <a:pt x="119" y="419"/>
                </a:lnTo>
                <a:lnTo>
                  <a:pt x="123" y="419"/>
                </a:lnTo>
                <a:lnTo>
                  <a:pt x="127" y="415"/>
                </a:lnTo>
                <a:lnTo>
                  <a:pt x="130" y="414"/>
                </a:lnTo>
                <a:lnTo>
                  <a:pt x="138" y="418"/>
                </a:lnTo>
                <a:lnTo>
                  <a:pt x="146" y="418"/>
                </a:lnTo>
                <a:lnTo>
                  <a:pt x="151" y="421"/>
                </a:lnTo>
                <a:lnTo>
                  <a:pt x="155" y="419"/>
                </a:lnTo>
                <a:lnTo>
                  <a:pt x="163" y="423"/>
                </a:lnTo>
                <a:lnTo>
                  <a:pt x="163" y="419"/>
                </a:lnTo>
                <a:lnTo>
                  <a:pt x="170" y="409"/>
                </a:lnTo>
                <a:lnTo>
                  <a:pt x="173" y="410"/>
                </a:lnTo>
                <a:lnTo>
                  <a:pt x="176" y="419"/>
                </a:lnTo>
                <a:lnTo>
                  <a:pt x="179" y="426"/>
                </a:lnTo>
                <a:lnTo>
                  <a:pt x="183" y="431"/>
                </a:lnTo>
                <a:lnTo>
                  <a:pt x="187" y="393"/>
                </a:lnTo>
                <a:lnTo>
                  <a:pt x="191" y="389"/>
                </a:lnTo>
                <a:lnTo>
                  <a:pt x="274" y="405"/>
                </a:lnTo>
                <a:lnTo>
                  <a:pt x="355" y="417"/>
                </a:lnTo>
                <a:lnTo>
                  <a:pt x="445" y="429"/>
                </a:lnTo>
                <a:lnTo>
                  <a:pt x="506" y="435"/>
                </a:lnTo>
                <a:lnTo>
                  <a:pt x="508" y="429"/>
                </a:lnTo>
                <a:lnTo>
                  <a:pt x="512" y="354"/>
                </a:lnTo>
                <a:lnTo>
                  <a:pt x="525" y="96"/>
                </a:lnTo>
                <a:lnTo>
                  <a:pt x="525" y="94"/>
                </a:lnTo>
                <a:lnTo>
                  <a:pt x="494" y="90"/>
                </a:lnTo>
                <a:lnTo>
                  <a:pt x="411" y="81"/>
                </a:lnTo>
                <a:lnTo>
                  <a:pt x="345" y="70"/>
                </a:lnTo>
                <a:lnTo>
                  <a:pt x="282" y="60"/>
                </a:lnTo>
                <a:lnTo>
                  <a:pt x="185" y="41"/>
                </a:lnTo>
                <a:lnTo>
                  <a:pt x="75" y="17"/>
                </a:lnTo>
                <a:lnTo>
                  <a:pt x="13" y="0"/>
                </a:lnTo>
                <a:lnTo>
                  <a:pt x="12" y="2"/>
                </a:lnTo>
                <a:lnTo>
                  <a:pt x="0" y="85"/>
                </a:lnTo>
                <a:lnTo>
                  <a:pt x="7" y="101"/>
                </a:lnTo>
                <a:lnTo>
                  <a:pt x="7" y="104"/>
                </a:lnTo>
                <a:lnTo>
                  <a:pt x="10" y="114"/>
                </a:lnTo>
                <a:lnTo>
                  <a:pt x="11" y="121"/>
                </a:lnTo>
                <a:lnTo>
                  <a:pt x="9" y="126"/>
                </a:lnTo>
                <a:lnTo>
                  <a:pt x="9" y="126"/>
                </a:lnTo>
                <a:lnTo>
                  <a:pt x="9" y="126"/>
                </a:lnTo>
                <a:close/>
              </a:path>
            </a:pathLst>
          </a:custGeom>
          <a:solidFill>
            <a:srgbClr val="E75936">
              <a:alpha val="21394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D2D19952-D5B1-4519-8FC8-94D12DEE471D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34">
        <xdr:nvSpPr>
          <xdr:cNvPr id="536" name="NY">
            <a:extLst>
              <a:ext uri="{FF2B5EF4-FFF2-40B4-BE49-F238E27FC236}">
                <a16:creationId xmlns:a16="http://schemas.microsoft.com/office/drawing/2014/main" id="{00000000-0008-0000-0100-000018020000}"/>
              </a:ext>
            </a:extLst>
          </xdr:cNvPr>
          <xdr:cNvSpPr>
            <a:spLocks/>
          </xdr:cNvSpPr>
        </xdr:nvSpPr>
        <xdr:spPr bwMode="auto">
          <a:xfrm>
            <a:off x="4980132" y="2043519"/>
            <a:ext cx="624167" cy="461122"/>
          </a:xfrm>
          <a:custGeom>
            <a:avLst/>
            <a:gdLst>
              <a:gd name="connsiteX0" fmla="*/ 593135 w 624167"/>
              <a:gd name="connsiteY0" fmla="*/ 368154 h 461122"/>
              <a:gd name="connsiteX1" fmla="*/ 586602 w 624167"/>
              <a:gd name="connsiteY1" fmla="*/ 380387 h 461122"/>
              <a:gd name="connsiteX2" fmla="*/ 586602 w 624167"/>
              <a:gd name="connsiteY2" fmla="*/ 387726 h 461122"/>
              <a:gd name="connsiteX3" fmla="*/ 580069 w 624167"/>
              <a:gd name="connsiteY3" fmla="*/ 392619 h 461122"/>
              <a:gd name="connsiteX4" fmla="*/ 575169 w 624167"/>
              <a:gd name="connsiteY4" fmla="*/ 399959 h 461122"/>
              <a:gd name="connsiteX5" fmla="*/ 581702 w 624167"/>
              <a:gd name="connsiteY5" fmla="*/ 399959 h 461122"/>
              <a:gd name="connsiteX6" fmla="*/ 586602 w 624167"/>
              <a:gd name="connsiteY6" fmla="*/ 397512 h 461122"/>
              <a:gd name="connsiteX7" fmla="*/ 594768 w 624167"/>
              <a:gd name="connsiteY7" fmla="*/ 382833 h 461122"/>
              <a:gd name="connsiteX8" fmla="*/ 601301 w 624167"/>
              <a:gd name="connsiteY8" fmla="*/ 380387 h 461122"/>
              <a:gd name="connsiteX9" fmla="*/ 607834 w 624167"/>
              <a:gd name="connsiteY9" fmla="*/ 377940 h 461122"/>
              <a:gd name="connsiteX10" fmla="*/ 609468 w 624167"/>
              <a:gd name="connsiteY10" fmla="*/ 380387 h 461122"/>
              <a:gd name="connsiteX11" fmla="*/ 616001 w 624167"/>
              <a:gd name="connsiteY11" fmla="*/ 376717 h 461122"/>
              <a:gd name="connsiteX12" fmla="*/ 624167 w 624167"/>
              <a:gd name="connsiteY12" fmla="*/ 371824 h 461122"/>
              <a:gd name="connsiteX13" fmla="*/ 614368 w 624167"/>
              <a:gd name="connsiteY13" fmla="*/ 382833 h 461122"/>
              <a:gd name="connsiteX14" fmla="*/ 607834 w 624167"/>
              <a:gd name="connsiteY14" fmla="*/ 387726 h 461122"/>
              <a:gd name="connsiteX15" fmla="*/ 594768 w 624167"/>
              <a:gd name="connsiteY15" fmla="*/ 399959 h 461122"/>
              <a:gd name="connsiteX16" fmla="*/ 586602 w 624167"/>
              <a:gd name="connsiteY16" fmla="*/ 401182 h 461122"/>
              <a:gd name="connsiteX17" fmla="*/ 586602 w 624167"/>
              <a:gd name="connsiteY17" fmla="*/ 406075 h 461122"/>
              <a:gd name="connsiteX18" fmla="*/ 571902 w 624167"/>
              <a:gd name="connsiteY18" fmla="*/ 415861 h 461122"/>
              <a:gd name="connsiteX19" fmla="*/ 565369 w 624167"/>
              <a:gd name="connsiteY19" fmla="*/ 415861 h 461122"/>
              <a:gd name="connsiteX20" fmla="*/ 558836 w 624167"/>
              <a:gd name="connsiteY20" fmla="*/ 421978 h 461122"/>
              <a:gd name="connsiteX21" fmla="*/ 552303 w 624167"/>
              <a:gd name="connsiteY21" fmla="*/ 424424 h 461122"/>
              <a:gd name="connsiteX22" fmla="*/ 537603 w 624167"/>
              <a:gd name="connsiteY22" fmla="*/ 431764 h 461122"/>
              <a:gd name="connsiteX23" fmla="*/ 531070 w 624167"/>
              <a:gd name="connsiteY23" fmla="*/ 435434 h 461122"/>
              <a:gd name="connsiteX24" fmla="*/ 522904 w 624167"/>
              <a:gd name="connsiteY24" fmla="*/ 441550 h 461122"/>
              <a:gd name="connsiteX25" fmla="*/ 519637 w 624167"/>
              <a:gd name="connsiteY25" fmla="*/ 441550 h 461122"/>
              <a:gd name="connsiteX26" fmla="*/ 496771 w 624167"/>
              <a:gd name="connsiteY26" fmla="*/ 455006 h 461122"/>
              <a:gd name="connsiteX27" fmla="*/ 482072 w 624167"/>
              <a:gd name="connsiteY27" fmla="*/ 461122 h 461122"/>
              <a:gd name="connsiteX28" fmla="*/ 490238 w 624167"/>
              <a:gd name="connsiteY28" fmla="*/ 456229 h 461122"/>
              <a:gd name="connsiteX29" fmla="*/ 475539 w 624167"/>
              <a:gd name="connsiteY29" fmla="*/ 459899 h 461122"/>
              <a:gd name="connsiteX30" fmla="*/ 473905 w 624167"/>
              <a:gd name="connsiteY30" fmla="*/ 458676 h 461122"/>
              <a:gd name="connsiteX31" fmla="*/ 473905 w 624167"/>
              <a:gd name="connsiteY31" fmla="*/ 451336 h 461122"/>
              <a:gd name="connsiteX32" fmla="*/ 477172 w 624167"/>
              <a:gd name="connsiteY32" fmla="*/ 443996 h 461122"/>
              <a:gd name="connsiteX33" fmla="*/ 488605 w 624167"/>
              <a:gd name="connsiteY33" fmla="*/ 435434 h 461122"/>
              <a:gd name="connsiteX34" fmla="*/ 490238 w 624167"/>
              <a:gd name="connsiteY34" fmla="*/ 429317 h 461122"/>
              <a:gd name="connsiteX35" fmla="*/ 496771 w 624167"/>
              <a:gd name="connsiteY35" fmla="*/ 430541 h 461122"/>
              <a:gd name="connsiteX36" fmla="*/ 496771 w 624167"/>
              <a:gd name="connsiteY36" fmla="*/ 424424 h 461122"/>
              <a:gd name="connsiteX37" fmla="*/ 503304 w 624167"/>
              <a:gd name="connsiteY37" fmla="*/ 419531 h 461122"/>
              <a:gd name="connsiteX38" fmla="*/ 509837 w 624167"/>
              <a:gd name="connsiteY38" fmla="*/ 419531 h 461122"/>
              <a:gd name="connsiteX39" fmla="*/ 522904 w 624167"/>
              <a:gd name="connsiteY39" fmla="*/ 412192 h 461122"/>
              <a:gd name="connsiteX40" fmla="*/ 529437 w 624167"/>
              <a:gd name="connsiteY40" fmla="*/ 412192 h 461122"/>
              <a:gd name="connsiteX41" fmla="*/ 532703 w 624167"/>
              <a:gd name="connsiteY41" fmla="*/ 406075 h 461122"/>
              <a:gd name="connsiteX42" fmla="*/ 539237 w 624167"/>
              <a:gd name="connsiteY42" fmla="*/ 402405 h 461122"/>
              <a:gd name="connsiteX43" fmla="*/ 558836 w 624167"/>
              <a:gd name="connsiteY43" fmla="*/ 399959 h 461122"/>
              <a:gd name="connsiteX44" fmla="*/ 573535 w 624167"/>
              <a:gd name="connsiteY44" fmla="*/ 392619 h 461122"/>
              <a:gd name="connsiteX45" fmla="*/ 414455 w 624167"/>
              <a:gd name="connsiteY45" fmla="*/ 0 h 461122"/>
              <a:gd name="connsiteX46" fmla="*/ 414455 w 624167"/>
              <a:gd name="connsiteY46" fmla="*/ 3618 h 461122"/>
              <a:gd name="connsiteX47" fmla="*/ 417693 w 624167"/>
              <a:gd name="connsiteY47" fmla="*/ 8441 h 461122"/>
              <a:gd name="connsiteX48" fmla="*/ 416074 w 624167"/>
              <a:gd name="connsiteY48" fmla="*/ 14470 h 461122"/>
              <a:gd name="connsiteX49" fmla="*/ 420931 w 624167"/>
              <a:gd name="connsiteY49" fmla="*/ 22910 h 461122"/>
              <a:gd name="connsiteX50" fmla="*/ 420931 w 624167"/>
              <a:gd name="connsiteY50" fmla="*/ 37380 h 461122"/>
              <a:gd name="connsiteX51" fmla="*/ 424169 w 624167"/>
              <a:gd name="connsiteY51" fmla="*/ 44615 h 461122"/>
              <a:gd name="connsiteX52" fmla="*/ 430645 w 624167"/>
              <a:gd name="connsiteY52" fmla="*/ 51849 h 461122"/>
              <a:gd name="connsiteX53" fmla="*/ 432264 w 624167"/>
              <a:gd name="connsiteY53" fmla="*/ 57878 h 461122"/>
              <a:gd name="connsiteX54" fmla="*/ 432264 w 624167"/>
              <a:gd name="connsiteY54" fmla="*/ 63907 h 461122"/>
              <a:gd name="connsiteX55" fmla="*/ 433883 w 624167"/>
              <a:gd name="connsiteY55" fmla="*/ 71142 h 461122"/>
              <a:gd name="connsiteX56" fmla="*/ 435502 w 624167"/>
              <a:gd name="connsiteY56" fmla="*/ 77171 h 461122"/>
              <a:gd name="connsiteX57" fmla="*/ 432264 w 624167"/>
              <a:gd name="connsiteY57" fmla="*/ 80789 h 461122"/>
              <a:gd name="connsiteX58" fmla="*/ 432264 w 624167"/>
              <a:gd name="connsiteY58" fmla="*/ 95258 h 461122"/>
              <a:gd name="connsiteX59" fmla="*/ 437121 w 624167"/>
              <a:gd name="connsiteY59" fmla="*/ 107316 h 461122"/>
              <a:gd name="connsiteX60" fmla="*/ 440358 w 624167"/>
              <a:gd name="connsiteY60" fmla="*/ 114551 h 461122"/>
              <a:gd name="connsiteX61" fmla="*/ 445215 w 624167"/>
              <a:gd name="connsiteY61" fmla="*/ 126609 h 461122"/>
              <a:gd name="connsiteX62" fmla="*/ 443596 w 624167"/>
              <a:gd name="connsiteY62" fmla="*/ 139873 h 461122"/>
              <a:gd name="connsiteX63" fmla="*/ 446834 w 624167"/>
              <a:gd name="connsiteY63" fmla="*/ 145902 h 461122"/>
              <a:gd name="connsiteX64" fmla="*/ 450072 w 624167"/>
              <a:gd name="connsiteY64" fmla="*/ 138667 h 461122"/>
              <a:gd name="connsiteX65" fmla="*/ 459786 w 624167"/>
              <a:gd name="connsiteY65" fmla="*/ 148313 h 461122"/>
              <a:gd name="connsiteX66" fmla="*/ 474357 w 624167"/>
              <a:gd name="connsiteY66" fmla="*/ 215838 h 461122"/>
              <a:gd name="connsiteX67" fmla="*/ 474357 w 624167"/>
              <a:gd name="connsiteY67" fmla="*/ 218250 h 461122"/>
              <a:gd name="connsiteX68" fmla="*/ 479214 w 624167"/>
              <a:gd name="connsiteY68" fmla="*/ 225484 h 461122"/>
              <a:gd name="connsiteX69" fmla="*/ 477595 w 624167"/>
              <a:gd name="connsiteY69" fmla="*/ 232719 h 461122"/>
              <a:gd name="connsiteX70" fmla="*/ 477595 w 624167"/>
              <a:gd name="connsiteY70" fmla="*/ 297832 h 461122"/>
              <a:gd name="connsiteX71" fmla="*/ 479214 w 624167"/>
              <a:gd name="connsiteY71" fmla="*/ 300244 h 461122"/>
              <a:gd name="connsiteX72" fmla="*/ 493784 w 624167"/>
              <a:gd name="connsiteY72" fmla="*/ 376209 h 461122"/>
              <a:gd name="connsiteX73" fmla="*/ 497022 w 624167"/>
              <a:gd name="connsiteY73" fmla="*/ 382238 h 461122"/>
              <a:gd name="connsiteX74" fmla="*/ 497022 w 624167"/>
              <a:gd name="connsiteY74" fmla="*/ 389473 h 461122"/>
              <a:gd name="connsiteX75" fmla="*/ 487308 w 624167"/>
              <a:gd name="connsiteY75" fmla="*/ 400325 h 461122"/>
              <a:gd name="connsiteX76" fmla="*/ 487308 w 624167"/>
              <a:gd name="connsiteY76" fmla="*/ 403943 h 461122"/>
              <a:gd name="connsiteX77" fmla="*/ 490546 w 624167"/>
              <a:gd name="connsiteY77" fmla="*/ 406354 h 461122"/>
              <a:gd name="connsiteX78" fmla="*/ 493784 w 624167"/>
              <a:gd name="connsiteY78" fmla="*/ 409972 h 461122"/>
              <a:gd name="connsiteX79" fmla="*/ 487308 w 624167"/>
              <a:gd name="connsiteY79" fmla="*/ 424441 h 461122"/>
              <a:gd name="connsiteX80" fmla="*/ 485689 w 624167"/>
              <a:gd name="connsiteY80" fmla="*/ 432882 h 461122"/>
              <a:gd name="connsiteX81" fmla="*/ 479214 w 624167"/>
              <a:gd name="connsiteY81" fmla="*/ 434088 h 461122"/>
              <a:gd name="connsiteX82" fmla="*/ 475976 w 624167"/>
              <a:gd name="connsiteY82" fmla="*/ 442528 h 461122"/>
              <a:gd name="connsiteX83" fmla="*/ 472738 w 624167"/>
              <a:gd name="connsiteY83" fmla="*/ 442528 h 461122"/>
              <a:gd name="connsiteX84" fmla="*/ 475976 w 624167"/>
              <a:gd name="connsiteY84" fmla="*/ 428059 h 461122"/>
              <a:gd name="connsiteX85" fmla="*/ 475976 w 624167"/>
              <a:gd name="connsiteY85" fmla="*/ 418412 h 461122"/>
              <a:gd name="connsiteX86" fmla="*/ 474357 w 624167"/>
              <a:gd name="connsiteY86" fmla="*/ 406354 h 461122"/>
              <a:gd name="connsiteX87" fmla="*/ 471119 w 624167"/>
              <a:gd name="connsiteY87" fmla="*/ 396708 h 461122"/>
              <a:gd name="connsiteX88" fmla="*/ 464643 w 624167"/>
              <a:gd name="connsiteY88" fmla="*/ 391885 h 461122"/>
              <a:gd name="connsiteX89" fmla="*/ 463024 w 624167"/>
              <a:gd name="connsiteY89" fmla="*/ 385856 h 461122"/>
              <a:gd name="connsiteX90" fmla="*/ 461405 w 624167"/>
              <a:gd name="connsiteY90" fmla="*/ 387061 h 461122"/>
              <a:gd name="connsiteX91" fmla="*/ 463024 w 624167"/>
              <a:gd name="connsiteY91" fmla="*/ 394296 h 461122"/>
              <a:gd name="connsiteX92" fmla="*/ 469500 w 624167"/>
              <a:gd name="connsiteY92" fmla="*/ 400325 h 461122"/>
              <a:gd name="connsiteX93" fmla="*/ 474357 w 624167"/>
              <a:gd name="connsiteY93" fmla="*/ 416001 h 461122"/>
              <a:gd name="connsiteX94" fmla="*/ 404741 w 624167"/>
              <a:gd name="connsiteY94" fmla="*/ 394296 h 461122"/>
              <a:gd name="connsiteX95" fmla="*/ 404741 w 624167"/>
              <a:gd name="connsiteY95" fmla="*/ 391885 h 461122"/>
              <a:gd name="connsiteX96" fmla="*/ 396646 w 624167"/>
              <a:gd name="connsiteY96" fmla="*/ 389473 h 461122"/>
              <a:gd name="connsiteX97" fmla="*/ 390171 w 624167"/>
              <a:gd name="connsiteY97" fmla="*/ 387061 h 461122"/>
              <a:gd name="connsiteX98" fmla="*/ 378838 w 624167"/>
              <a:gd name="connsiteY98" fmla="*/ 382238 h 461122"/>
              <a:gd name="connsiteX99" fmla="*/ 372362 w 624167"/>
              <a:gd name="connsiteY99" fmla="*/ 376209 h 461122"/>
              <a:gd name="connsiteX100" fmla="*/ 370743 w 624167"/>
              <a:gd name="connsiteY100" fmla="*/ 370180 h 461122"/>
              <a:gd name="connsiteX101" fmla="*/ 364267 w 624167"/>
              <a:gd name="connsiteY101" fmla="*/ 355711 h 461122"/>
              <a:gd name="connsiteX102" fmla="*/ 357791 w 624167"/>
              <a:gd name="connsiteY102" fmla="*/ 348476 h 461122"/>
              <a:gd name="connsiteX103" fmla="*/ 351315 w 624167"/>
              <a:gd name="connsiteY103" fmla="*/ 350887 h 461122"/>
              <a:gd name="connsiteX104" fmla="*/ 348078 w 624167"/>
              <a:gd name="connsiteY104" fmla="*/ 343653 h 461122"/>
              <a:gd name="connsiteX105" fmla="*/ 341602 w 624167"/>
              <a:gd name="connsiteY105" fmla="*/ 341241 h 461122"/>
              <a:gd name="connsiteX106" fmla="*/ 341602 w 624167"/>
              <a:gd name="connsiteY106" fmla="*/ 338829 h 461122"/>
              <a:gd name="connsiteX107" fmla="*/ 270367 w 624167"/>
              <a:gd name="connsiteY107" fmla="*/ 355711 h 461122"/>
              <a:gd name="connsiteX108" fmla="*/ 163516 w 624167"/>
              <a:gd name="connsiteY108" fmla="*/ 377415 h 461122"/>
              <a:gd name="connsiteX109" fmla="*/ 67997 w 624167"/>
              <a:gd name="connsiteY109" fmla="*/ 396708 h 461122"/>
              <a:gd name="connsiteX110" fmla="*/ 6476 w 624167"/>
              <a:gd name="connsiteY110" fmla="*/ 408766 h 461122"/>
              <a:gd name="connsiteX111" fmla="*/ 1619 w 624167"/>
              <a:gd name="connsiteY111" fmla="*/ 382238 h 461122"/>
              <a:gd name="connsiteX112" fmla="*/ 0 w 624167"/>
              <a:gd name="connsiteY112" fmla="*/ 381032 h 461122"/>
              <a:gd name="connsiteX113" fmla="*/ 3238 w 624167"/>
              <a:gd name="connsiteY113" fmla="*/ 379827 h 461122"/>
              <a:gd name="connsiteX114" fmla="*/ 17809 w 624167"/>
              <a:gd name="connsiteY114" fmla="*/ 362945 h 461122"/>
              <a:gd name="connsiteX115" fmla="*/ 29142 w 624167"/>
              <a:gd name="connsiteY115" fmla="*/ 350887 h 461122"/>
              <a:gd name="connsiteX116" fmla="*/ 37236 w 624167"/>
              <a:gd name="connsiteY116" fmla="*/ 342447 h 461122"/>
              <a:gd name="connsiteX117" fmla="*/ 42093 w 624167"/>
              <a:gd name="connsiteY117" fmla="*/ 336418 h 461122"/>
              <a:gd name="connsiteX118" fmla="*/ 45331 w 624167"/>
              <a:gd name="connsiteY118" fmla="*/ 329183 h 461122"/>
              <a:gd name="connsiteX119" fmla="*/ 58283 w 624167"/>
              <a:gd name="connsiteY119" fmla="*/ 317125 h 461122"/>
              <a:gd name="connsiteX120" fmla="*/ 58283 w 624167"/>
              <a:gd name="connsiteY120" fmla="*/ 308685 h 461122"/>
              <a:gd name="connsiteX121" fmla="*/ 48569 w 624167"/>
              <a:gd name="connsiteY121" fmla="*/ 294215 h 461122"/>
              <a:gd name="connsiteX122" fmla="*/ 51807 w 624167"/>
              <a:gd name="connsiteY122" fmla="*/ 289392 h 461122"/>
              <a:gd name="connsiteX123" fmla="*/ 51807 w 624167"/>
              <a:gd name="connsiteY123" fmla="*/ 288186 h 461122"/>
              <a:gd name="connsiteX124" fmla="*/ 37236 w 624167"/>
              <a:gd name="connsiteY124" fmla="*/ 284569 h 461122"/>
              <a:gd name="connsiteX125" fmla="*/ 38855 w 624167"/>
              <a:gd name="connsiteY125" fmla="*/ 279745 h 461122"/>
              <a:gd name="connsiteX126" fmla="*/ 33998 w 624167"/>
              <a:gd name="connsiteY126" fmla="*/ 266482 h 461122"/>
              <a:gd name="connsiteX127" fmla="*/ 42093 w 624167"/>
              <a:gd name="connsiteY127" fmla="*/ 264070 h 461122"/>
              <a:gd name="connsiteX128" fmla="*/ 48569 w 624167"/>
              <a:gd name="connsiteY128" fmla="*/ 259247 h 461122"/>
              <a:gd name="connsiteX129" fmla="*/ 55045 w 624167"/>
              <a:gd name="connsiteY129" fmla="*/ 256835 h 461122"/>
              <a:gd name="connsiteX130" fmla="*/ 61521 w 624167"/>
              <a:gd name="connsiteY130" fmla="*/ 254424 h 461122"/>
              <a:gd name="connsiteX131" fmla="*/ 76092 w 624167"/>
              <a:gd name="connsiteY131" fmla="*/ 247189 h 461122"/>
              <a:gd name="connsiteX132" fmla="*/ 101995 w 624167"/>
              <a:gd name="connsiteY132" fmla="*/ 242366 h 461122"/>
              <a:gd name="connsiteX133" fmla="*/ 127898 w 624167"/>
              <a:gd name="connsiteY133" fmla="*/ 241160 h 461122"/>
              <a:gd name="connsiteX134" fmla="*/ 145707 w 624167"/>
              <a:gd name="connsiteY134" fmla="*/ 247189 h 461122"/>
              <a:gd name="connsiteX135" fmla="*/ 160278 w 624167"/>
              <a:gd name="connsiteY135" fmla="*/ 241160 h 461122"/>
              <a:gd name="connsiteX136" fmla="*/ 173229 w 624167"/>
              <a:gd name="connsiteY136" fmla="*/ 237542 h 461122"/>
              <a:gd name="connsiteX137" fmla="*/ 186181 w 624167"/>
              <a:gd name="connsiteY137" fmla="*/ 236337 h 461122"/>
              <a:gd name="connsiteX138" fmla="*/ 191038 w 624167"/>
              <a:gd name="connsiteY138" fmla="*/ 237542 h 461122"/>
              <a:gd name="connsiteX139" fmla="*/ 195895 w 624167"/>
              <a:gd name="connsiteY139" fmla="*/ 231513 h 461122"/>
              <a:gd name="connsiteX140" fmla="*/ 202371 w 624167"/>
              <a:gd name="connsiteY140" fmla="*/ 227896 h 461122"/>
              <a:gd name="connsiteX141" fmla="*/ 208847 w 624167"/>
              <a:gd name="connsiteY141" fmla="*/ 221867 h 461122"/>
              <a:gd name="connsiteX142" fmla="*/ 212085 w 624167"/>
              <a:gd name="connsiteY142" fmla="*/ 215838 h 461122"/>
              <a:gd name="connsiteX143" fmla="*/ 220179 w 624167"/>
              <a:gd name="connsiteY143" fmla="*/ 208603 h 461122"/>
              <a:gd name="connsiteX144" fmla="*/ 228274 w 624167"/>
              <a:gd name="connsiteY144" fmla="*/ 201368 h 461122"/>
              <a:gd name="connsiteX145" fmla="*/ 234750 w 624167"/>
              <a:gd name="connsiteY145" fmla="*/ 201368 h 461122"/>
              <a:gd name="connsiteX146" fmla="*/ 239607 w 624167"/>
              <a:gd name="connsiteY146" fmla="*/ 194134 h 461122"/>
              <a:gd name="connsiteX147" fmla="*/ 239607 w 624167"/>
              <a:gd name="connsiteY147" fmla="*/ 186899 h 461122"/>
              <a:gd name="connsiteX148" fmla="*/ 236369 w 624167"/>
              <a:gd name="connsiteY148" fmla="*/ 179664 h 461122"/>
              <a:gd name="connsiteX149" fmla="*/ 236369 w 624167"/>
              <a:gd name="connsiteY149" fmla="*/ 177252 h 461122"/>
              <a:gd name="connsiteX150" fmla="*/ 229893 w 624167"/>
              <a:gd name="connsiteY150" fmla="*/ 162783 h 461122"/>
              <a:gd name="connsiteX151" fmla="*/ 236369 w 624167"/>
              <a:gd name="connsiteY151" fmla="*/ 160371 h 461122"/>
              <a:gd name="connsiteX152" fmla="*/ 236369 w 624167"/>
              <a:gd name="connsiteY152" fmla="*/ 154342 h 461122"/>
              <a:gd name="connsiteX153" fmla="*/ 241226 w 624167"/>
              <a:gd name="connsiteY153" fmla="*/ 148313 h 461122"/>
              <a:gd name="connsiteX154" fmla="*/ 231512 w 624167"/>
              <a:gd name="connsiteY154" fmla="*/ 153137 h 461122"/>
              <a:gd name="connsiteX155" fmla="*/ 231512 w 624167"/>
              <a:gd name="connsiteY155" fmla="*/ 143490 h 461122"/>
              <a:gd name="connsiteX156" fmla="*/ 223417 w 624167"/>
              <a:gd name="connsiteY156" fmla="*/ 145902 h 461122"/>
              <a:gd name="connsiteX157" fmla="*/ 225036 w 624167"/>
              <a:gd name="connsiteY157" fmla="*/ 153137 h 461122"/>
              <a:gd name="connsiteX158" fmla="*/ 223417 w 624167"/>
              <a:gd name="connsiteY158" fmla="*/ 149519 h 461122"/>
              <a:gd name="connsiteX159" fmla="*/ 216941 w 624167"/>
              <a:gd name="connsiteY159" fmla="*/ 143490 h 461122"/>
              <a:gd name="connsiteX160" fmla="*/ 218560 w 624167"/>
              <a:gd name="connsiteY160" fmla="*/ 136255 h 461122"/>
              <a:gd name="connsiteX161" fmla="*/ 231512 w 624167"/>
              <a:gd name="connsiteY161" fmla="*/ 124197 h 461122"/>
              <a:gd name="connsiteX162" fmla="*/ 237988 w 624167"/>
              <a:gd name="connsiteY162" fmla="*/ 119374 h 461122"/>
              <a:gd name="connsiteX163" fmla="*/ 241226 w 624167"/>
              <a:gd name="connsiteY163" fmla="*/ 114551 h 461122"/>
              <a:gd name="connsiteX164" fmla="*/ 250940 w 624167"/>
              <a:gd name="connsiteY164" fmla="*/ 100081 h 461122"/>
              <a:gd name="connsiteX165" fmla="*/ 250940 w 624167"/>
              <a:gd name="connsiteY165" fmla="*/ 91641 h 461122"/>
              <a:gd name="connsiteX166" fmla="*/ 271986 w 624167"/>
              <a:gd name="connsiteY166" fmla="*/ 56673 h 461122"/>
              <a:gd name="connsiteX167" fmla="*/ 296271 w 624167"/>
              <a:gd name="connsiteY167" fmla="*/ 30145 h 461122"/>
              <a:gd name="connsiteX168" fmla="*/ 309222 w 624167"/>
              <a:gd name="connsiteY168" fmla="*/ 24116 h 461122"/>
              <a:gd name="connsiteX169" fmla="*/ 315698 w 624167"/>
              <a:gd name="connsiteY169" fmla="*/ 24116 h 461122"/>
              <a:gd name="connsiteX170" fmla="*/ 362648 w 624167"/>
              <a:gd name="connsiteY170" fmla="*/ 13264 h 4611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  <a:cxn ang="0">
                <a:pos x="connsiteX162" y="connsiteY162"/>
              </a:cxn>
              <a:cxn ang="0">
                <a:pos x="connsiteX163" y="connsiteY163"/>
              </a:cxn>
              <a:cxn ang="0">
                <a:pos x="connsiteX164" y="connsiteY164"/>
              </a:cxn>
              <a:cxn ang="0">
                <a:pos x="connsiteX165" y="connsiteY165"/>
              </a:cxn>
              <a:cxn ang="0">
                <a:pos x="connsiteX166" y="connsiteY166"/>
              </a:cxn>
              <a:cxn ang="0">
                <a:pos x="connsiteX167" y="connsiteY167"/>
              </a:cxn>
              <a:cxn ang="0">
                <a:pos x="connsiteX168" y="connsiteY168"/>
              </a:cxn>
              <a:cxn ang="0">
                <a:pos x="connsiteX169" y="connsiteY169"/>
              </a:cxn>
              <a:cxn ang="0">
                <a:pos x="connsiteX170" y="connsiteY170"/>
              </a:cxn>
            </a:cxnLst>
            <a:rect l="l" t="t" r="r" b="b"/>
            <a:pathLst>
              <a:path w="624167" h="461122">
                <a:moveTo>
                  <a:pt x="593135" y="368154"/>
                </a:moveTo>
                <a:lnTo>
                  <a:pt x="586602" y="380387"/>
                </a:lnTo>
                <a:lnTo>
                  <a:pt x="586602" y="387726"/>
                </a:lnTo>
                <a:lnTo>
                  <a:pt x="580069" y="392619"/>
                </a:lnTo>
                <a:lnTo>
                  <a:pt x="575169" y="399959"/>
                </a:lnTo>
                <a:lnTo>
                  <a:pt x="581702" y="399959"/>
                </a:lnTo>
                <a:lnTo>
                  <a:pt x="586602" y="397512"/>
                </a:lnTo>
                <a:lnTo>
                  <a:pt x="594768" y="382833"/>
                </a:lnTo>
                <a:lnTo>
                  <a:pt x="601301" y="380387"/>
                </a:lnTo>
                <a:lnTo>
                  <a:pt x="607834" y="377940"/>
                </a:lnTo>
                <a:lnTo>
                  <a:pt x="609468" y="380387"/>
                </a:lnTo>
                <a:lnTo>
                  <a:pt x="616001" y="376717"/>
                </a:lnTo>
                <a:lnTo>
                  <a:pt x="624167" y="371824"/>
                </a:lnTo>
                <a:lnTo>
                  <a:pt x="614368" y="382833"/>
                </a:lnTo>
                <a:lnTo>
                  <a:pt x="607834" y="387726"/>
                </a:lnTo>
                <a:lnTo>
                  <a:pt x="594768" y="399959"/>
                </a:lnTo>
                <a:lnTo>
                  <a:pt x="586602" y="401182"/>
                </a:lnTo>
                <a:lnTo>
                  <a:pt x="586602" y="406075"/>
                </a:lnTo>
                <a:lnTo>
                  <a:pt x="571902" y="415861"/>
                </a:lnTo>
                <a:lnTo>
                  <a:pt x="565369" y="415861"/>
                </a:lnTo>
                <a:lnTo>
                  <a:pt x="558836" y="421978"/>
                </a:lnTo>
                <a:lnTo>
                  <a:pt x="552303" y="424424"/>
                </a:lnTo>
                <a:lnTo>
                  <a:pt x="537603" y="431764"/>
                </a:lnTo>
                <a:lnTo>
                  <a:pt x="531070" y="435434"/>
                </a:lnTo>
                <a:lnTo>
                  <a:pt x="522904" y="441550"/>
                </a:lnTo>
                <a:lnTo>
                  <a:pt x="519637" y="441550"/>
                </a:lnTo>
                <a:lnTo>
                  <a:pt x="496771" y="455006"/>
                </a:lnTo>
                <a:lnTo>
                  <a:pt x="482072" y="461122"/>
                </a:lnTo>
                <a:lnTo>
                  <a:pt x="490238" y="456229"/>
                </a:lnTo>
                <a:lnTo>
                  <a:pt x="475539" y="459899"/>
                </a:lnTo>
                <a:lnTo>
                  <a:pt x="473905" y="458676"/>
                </a:lnTo>
                <a:lnTo>
                  <a:pt x="473905" y="451336"/>
                </a:lnTo>
                <a:lnTo>
                  <a:pt x="477172" y="443996"/>
                </a:lnTo>
                <a:lnTo>
                  <a:pt x="488605" y="435434"/>
                </a:lnTo>
                <a:lnTo>
                  <a:pt x="490238" y="429317"/>
                </a:lnTo>
                <a:lnTo>
                  <a:pt x="496771" y="430541"/>
                </a:lnTo>
                <a:lnTo>
                  <a:pt x="496771" y="424424"/>
                </a:lnTo>
                <a:lnTo>
                  <a:pt x="503304" y="419531"/>
                </a:lnTo>
                <a:lnTo>
                  <a:pt x="509837" y="419531"/>
                </a:lnTo>
                <a:lnTo>
                  <a:pt x="522904" y="412192"/>
                </a:lnTo>
                <a:lnTo>
                  <a:pt x="529437" y="412192"/>
                </a:lnTo>
                <a:lnTo>
                  <a:pt x="532703" y="406075"/>
                </a:lnTo>
                <a:lnTo>
                  <a:pt x="539237" y="402405"/>
                </a:lnTo>
                <a:lnTo>
                  <a:pt x="558836" y="399959"/>
                </a:lnTo>
                <a:lnTo>
                  <a:pt x="573535" y="392619"/>
                </a:lnTo>
                <a:close/>
                <a:moveTo>
                  <a:pt x="414455" y="0"/>
                </a:moveTo>
                <a:lnTo>
                  <a:pt x="414455" y="3618"/>
                </a:lnTo>
                <a:lnTo>
                  <a:pt x="417693" y="8441"/>
                </a:lnTo>
                <a:lnTo>
                  <a:pt x="416074" y="14470"/>
                </a:lnTo>
                <a:lnTo>
                  <a:pt x="420931" y="22910"/>
                </a:lnTo>
                <a:lnTo>
                  <a:pt x="420931" y="37380"/>
                </a:lnTo>
                <a:lnTo>
                  <a:pt x="424169" y="44615"/>
                </a:lnTo>
                <a:lnTo>
                  <a:pt x="430645" y="51849"/>
                </a:lnTo>
                <a:lnTo>
                  <a:pt x="432264" y="57878"/>
                </a:lnTo>
                <a:lnTo>
                  <a:pt x="432264" y="63907"/>
                </a:lnTo>
                <a:lnTo>
                  <a:pt x="433883" y="71142"/>
                </a:lnTo>
                <a:lnTo>
                  <a:pt x="435502" y="77171"/>
                </a:lnTo>
                <a:lnTo>
                  <a:pt x="432264" y="80789"/>
                </a:lnTo>
                <a:lnTo>
                  <a:pt x="432264" y="95258"/>
                </a:lnTo>
                <a:lnTo>
                  <a:pt x="437121" y="107316"/>
                </a:lnTo>
                <a:lnTo>
                  <a:pt x="440358" y="114551"/>
                </a:lnTo>
                <a:lnTo>
                  <a:pt x="445215" y="126609"/>
                </a:lnTo>
                <a:lnTo>
                  <a:pt x="443596" y="139873"/>
                </a:lnTo>
                <a:lnTo>
                  <a:pt x="446834" y="145902"/>
                </a:lnTo>
                <a:lnTo>
                  <a:pt x="450072" y="138667"/>
                </a:lnTo>
                <a:lnTo>
                  <a:pt x="459786" y="148313"/>
                </a:lnTo>
                <a:lnTo>
                  <a:pt x="474357" y="215838"/>
                </a:lnTo>
                <a:lnTo>
                  <a:pt x="474357" y="218250"/>
                </a:lnTo>
                <a:lnTo>
                  <a:pt x="479214" y="225484"/>
                </a:lnTo>
                <a:lnTo>
                  <a:pt x="477595" y="232719"/>
                </a:lnTo>
                <a:lnTo>
                  <a:pt x="477595" y="297832"/>
                </a:lnTo>
                <a:lnTo>
                  <a:pt x="479214" y="300244"/>
                </a:lnTo>
                <a:lnTo>
                  <a:pt x="493784" y="376209"/>
                </a:lnTo>
                <a:lnTo>
                  <a:pt x="497022" y="382238"/>
                </a:lnTo>
                <a:lnTo>
                  <a:pt x="497022" y="389473"/>
                </a:lnTo>
                <a:lnTo>
                  <a:pt x="487308" y="400325"/>
                </a:lnTo>
                <a:lnTo>
                  <a:pt x="487308" y="403943"/>
                </a:lnTo>
                <a:lnTo>
                  <a:pt x="490546" y="406354"/>
                </a:lnTo>
                <a:lnTo>
                  <a:pt x="493784" y="409972"/>
                </a:lnTo>
                <a:lnTo>
                  <a:pt x="487308" y="424441"/>
                </a:lnTo>
                <a:lnTo>
                  <a:pt x="485689" y="432882"/>
                </a:lnTo>
                <a:lnTo>
                  <a:pt x="479214" y="434088"/>
                </a:lnTo>
                <a:lnTo>
                  <a:pt x="475976" y="442528"/>
                </a:lnTo>
                <a:lnTo>
                  <a:pt x="472738" y="442528"/>
                </a:lnTo>
                <a:lnTo>
                  <a:pt x="475976" y="428059"/>
                </a:lnTo>
                <a:lnTo>
                  <a:pt x="475976" y="418412"/>
                </a:lnTo>
                <a:lnTo>
                  <a:pt x="474357" y="406354"/>
                </a:lnTo>
                <a:lnTo>
                  <a:pt x="471119" y="396708"/>
                </a:lnTo>
                <a:lnTo>
                  <a:pt x="464643" y="391885"/>
                </a:lnTo>
                <a:lnTo>
                  <a:pt x="463024" y="385856"/>
                </a:lnTo>
                <a:lnTo>
                  <a:pt x="461405" y="387061"/>
                </a:lnTo>
                <a:lnTo>
                  <a:pt x="463024" y="394296"/>
                </a:lnTo>
                <a:lnTo>
                  <a:pt x="469500" y="400325"/>
                </a:lnTo>
                <a:lnTo>
                  <a:pt x="474357" y="416001"/>
                </a:lnTo>
                <a:lnTo>
                  <a:pt x="404741" y="394296"/>
                </a:lnTo>
                <a:lnTo>
                  <a:pt x="404741" y="391885"/>
                </a:lnTo>
                <a:lnTo>
                  <a:pt x="396646" y="389473"/>
                </a:lnTo>
                <a:lnTo>
                  <a:pt x="390171" y="387061"/>
                </a:lnTo>
                <a:lnTo>
                  <a:pt x="378838" y="382238"/>
                </a:lnTo>
                <a:lnTo>
                  <a:pt x="372362" y="376209"/>
                </a:lnTo>
                <a:lnTo>
                  <a:pt x="370743" y="370180"/>
                </a:lnTo>
                <a:lnTo>
                  <a:pt x="364267" y="355711"/>
                </a:lnTo>
                <a:lnTo>
                  <a:pt x="357791" y="348476"/>
                </a:lnTo>
                <a:lnTo>
                  <a:pt x="351315" y="350887"/>
                </a:lnTo>
                <a:lnTo>
                  <a:pt x="348078" y="343653"/>
                </a:lnTo>
                <a:lnTo>
                  <a:pt x="341602" y="341241"/>
                </a:lnTo>
                <a:lnTo>
                  <a:pt x="341602" y="338829"/>
                </a:lnTo>
                <a:lnTo>
                  <a:pt x="270367" y="355711"/>
                </a:lnTo>
                <a:lnTo>
                  <a:pt x="163516" y="377415"/>
                </a:lnTo>
                <a:lnTo>
                  <a:pt x="67997" y="396708"/>
                </a:lnTo>
                <a:lnTo>
                  <a:pt x="6476" y="408766"/>
                </a:lnTo>
                <a:lnTo>
                  <a:pt x="1619" y="382238"/>
                </a:lnTo>
                <a:lnTo>
                  <a:pt x="0" y="381032"/>
                </a:lnTo>
                <a:lnTo>
                  <a:pt x="3238" y="379827"/>
                </a:lnTo>
                <a:lnTo>
                  <a:pt x="17809" y="362945"/>
                </a:lnTo>
                <a:lnTo>
                  <a:pt x="29142" y="350887"/>
                </a:lnTo>
                <a:lnTo>
                  <a:pt x="37236" y="342447"/>
                </a:lnTo>
                <a:lnTo>
                  <a:pt x="42093" y="336418"/>
                </a:lnTo>
                <a:lnTo>
                  <a:pt x="45331" y="329183"/>
                </a:lnTo>
                <a:lnTo>
                  <a:pt x="58283" y="317125"/>
                </a:lnTo>
                <a:lnTo>
                  <a:pt x="58283" y="308685"/>
                </a:lnTo>
                <a:lnTo>
                  <a:pt x="48569" y="294215"/>
                </a:lnTo>
                <a:lnTo>
                  <a:pt x="51807" y="289392"/>
                </a:lnTo>
                <a:lnTo>
                  <a:pt x="51807" y="288186"/>
                </a:lnTo>
                <a:lnTo>
                  <a:pt x="37236" y="284569"/>
                </a:lnTo>
                <a:lnTo>
                  <a:pt x="38855" y="279745"/>
                </a:lnTo>
                <a:lnTo>
                  <a:pt x="33998" y="266482"/>
                </a:lnTo>
                <a:lnTo>
                  <a:pt x="42093" y="264070"/>
                </a:lnTo>
                <a:lnTo>
                  <a:pt x="48569" y="259247"/>
                </a:lnTo>
                <a:lnTo>
                  <a:pt x="55045" y="256835"/>
                </a:lnTo>
                <a:lnTo>
                  <a:pt x="61521" y="254424"/>
                </a:lnTo>
                <a:lnTo>
                  <a:pt x="76092" y="247189"/>
                </a:lnTo>
                <a:lnTo>
                  <a:pt x="101995" y="242366"/>
                </a:lnTo>
                <a:lnTo>
                  <a:pt x="127898" y="241160"/>
                </a:lnTo>
                <a:lnTo>
                  <a:pt x="145707" y="247189"/>
                </a:lnTo>
                <a:lnTo>
                  <a:pt x="160278" y="241160"/>
                </a:lnTo>
                <a:lnTo>
                  <a:pt x="173229" y="237542"/>
                </a:lnTo>
                <a:lnTo>
                  <a:pt x="186181" y="236337"/>
                </a:lnTo>
                <a:lnTo>
                  <a:pt x="191038" y="237542"/>
                </a:lnTo>
                <a:lnTo>
                  <a:pt x="195895" y="231513"/>
                </a:lnTo>
                <a:lnTo>
                  <a:pt x="202371" y="227896"/>
                </a:lnTo>
                <a:lnTo>
                  <a:pt x="208847" y="221867"/>
                </a:lnTo>
                <a:lnTo>
                  <a:pt x="212085" y="215838"/>
                </a:lnTo>
                <a:lnTo>
                  <a:pt x="220179" y="208603"/>
                </a:lnTo>
                <a:lnTo>
                  <a:pt x="228274" y="201368"/>
                </a:lnTo>
                <a:lnTo>
                  <a:pt x="234750" y="201368"/>
                </a:lnTo>
                <a:lnTo>
                  <a:pt x="239607" y="194134"/>
                </a:lnTo>
                <a:lnTo>
                  <a:pt x="239607" y="186899"/>
                </a:lnTo>
                <a:lnTo>
                  <a:pt x="236369" y="179664"/>
                </a:lnTo>
                <a:lnTo>
                  <a:pt x="236369" y="177252"/>
                </a:lnTo>
                <a:lnTo>
                  <a:pt x="229893" y="162783"/>
                </a:lnTo>
                <a:lnTo>
                  <a:pt x="236369" y="160371"/>
                </a:lnTo>
                <a:lnTo>
                  <a:pt x="236369" y="154342"/>
                </a:lnTo>
                <a:lnTo>
                  <a:pt x="241226" y="148313"/>
                </a:lnTo>
                <a:lnTo>
                  <a:pt x="231512" y="153137"/>
                </a:lnTo>
                <a:lnTo>
                  <a:pt x="231512" y="143490"/>
                </a:lnTo>
                <a:lnTo>
                  <a:pt x="223417" y="145902"/>
                </a:lnTo>
                <a:lnTo>
                  <a:pt x="225036" y="153137"/>
                </a:lnTo>
                <a:lnTo>
                  <a:pt x="223417" y="149519"/>
                </a:lnTo>
                <a:lnTo>
                  <a:pt x="216941" y="143490"/>
                </a:lnTo>
                <a:lnTo>
                  <a:pt x="218560" y="136255"/>
                </a:lnTo>
                <a:lnTo>
                  <a:pt x="231512" y="124197"/>
                </a:lnTo>
                <a:lnTo>
                  <a:pt x="237988" y="119374"/>
                </a:lnTo>
                <a:lnTo>
                  <a:pt x="241226" y="114551"/>
                </a:lnTo>
                <a:lnTo>
                  <a:pt x="250940" y="100081"/>
                </a:lnTo>
                <a:lnTo>
                  <a:pt x="250940" y="91641"/>
                </a:lnTo>
                <a:lnTo>
                  <a:pt x="271986" y="56673"/>
                </a:lnTo>
                <a:lnTo>
                  <a:pt x="296271" y="30145"/>
                </a:lnTo>
                <a:lnTo>
                  <a:pt x="309222" y="24116"/>
                </a:lnTo>
                <a:lnTo>
                  <a:pt x="315698" y="24116"/>
                </a:lnTo>
                <a:lnTo>
                  <a:pt x="362648" y="13264"/>
                </a:lnTo>
                <a:close/>
              </a:path>
            </a:pathLst>
          </a:custGeom>
          <a:solidFill>
            <a:srgbClr val="E75936">
              <a:alpha val="86274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 wrap="square">
            <a:noAutofit/>
          </a:bodyPr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646B853E-A7B5-4493-BBE8-7A3031957ECE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41">
        <xdr:nvSpPr>
          <xdr:cNvPr id="493" name="PA">
            <a:extLst>
              <a:ext uri="{FF2B5EF4-FFF2-40B4-BE49-F238E27FC236}">
                <a16:creationId xmlns:a16="http://schemas.microsoft.com/office/drawing/2014/main" id="{00000000-0008-0000-0100-0000ED010000}"/>
              </a:ext>
            </a:extLst>
          </xdr:cNvPr>
          <xdr:cNvSpPr>
            <a:spLocks/>
          </xdr:cNvSpPr>
        </xdr:nvSpPr>
        <xdr:spPr bwMode="auto">
          <a:xfrm>
            <a:off x="4930247" y="2384198"/>
            <a:ext cx="485775" cy="304239"/>
          </a:xfrm>
          <a:custGeom>
            <a:avLst/>
            <a:gdLst>
              <a:gd name="T0" fmla="*/ 1 w 298"/>
              <a:gd name="T1" fmla="*/ 71 h 260"/>
              <a:gd name="T2" fmla="*/ 25 w 298"/>
              <a:gd name="T3" fmla="*/ 260 h 260"/>
              <a:gd name="T4" fmla="*/ 160 w 298"/>
              <a:gd name="T5" fmla="*/ 227 h 260"/>
              <a:gd name="T6" fmla="*/ 256 w 298"/>
              <a:gd name="T7" fmla="*/ 195 h 260"/>
              <a:gd name="T8" fmla="*/ 262 w 298"/>
              <a:gd name="T9" fmla="*/ 185 h 260"/>
              <a:gd name="T10" fmla="*/ 269 w 298"/>
              <a:gd name="T11" fmla="*/ 185 h 260"/>
              <a:gd name="T12" fmla="*/ 275 w 298"/>
              <a:gd name="T13" fmla="*/ 181 h 260"/>
              <a:gd name="T14" fmla="*/ 283 w 298"/>
              <a:gd name="T15" fmla="*/ 175 h 260"/>
              <a:gd name="T16" fmla="*/ 286 w 298"/>
              <a:gd name="T17" fmla="*/ 166 h 260"/>
              <a:gd name="T18" fmla="*/ 286 w 298"/>
              <a:gd name="T19" fmla="*/ 164 h 260"/>
              <a:gd name="T20" fmla="*/ 291 w 298"/>
              <a:gd name="T21" fmla="*/ 158 h 260"/>
              <a:gd name="T22" fmla="*/ 298 w 298"/>
              <a:gd name="T23" fmla="*/ 147 h 260"/>
              <a:gd name="T24" fmla="*/ 284 w 298"/>
              <a:gd name="T25" fmla="*/ 131 h 260"/>
              <a:gd name="T26" fmla="*/ 278 w 298"/>
              <a:gd name="T27" fmla="*/ 127 h 260"/>
              <a:gd name="T28" fmla="*/ 273 w 298"/>
              <a:gd name="T29" fmla="*/ 119 h 260"/>
              <a:gd name="T30" fmla="*/ 268 w 298"/>
              <a:gd name="T31" fmla="*/ 104 h 260"/>
              <a:gd name="T32" fmla="*/ 272 w 298"/>
              <a:gd name="T33" fmla="*/ 94 h 260"/>
              <a:gd name="T34" fmla="*/ 269 w 298"/>
              <a:gd name="T35" fmla="*/ 87 h 260"/>
              <a:gd name="T36" fmla="*/ 271 w 298"/>
              <a:gd name="T37" fmla="*/ 78 h 260"/>
              <a:gd name="T38" fmla="*/ 276 w 298"/>
              <a:gd name="T39" fmla="*/ 58 h 260"/>
              <a:gd name="T40" fmla="*/ 282 w 298"/>
              <a:gd name="T41" fmla="*/ 46 h 260"/>
              <a:gd name="T42" fmla="*/ 277 w 298"/>
              <a:gd name="T43" fmla="*/ 42 h 260"/>
              <a:gd name="T44" fmla="*/ 266 w 298"/>
              <a:gd name="T45" fmla="*/ 36 h 260"/>
              <a:gd name="T46" fmla="*/ 261 w 298"/>
              <a:gd name="T47" fmla="*/ 26 h 260"/>
              <a:gd name="T48" fmla="*/ 253 w 298"/>
              <a:gd name="T49" fmla="*/ 8 h 260"/>
              <a:gd name="T50" fmla="*/ 247 w 298"/>
              <a:gd name="T51" fmla="*/ 4 h 260"/>
              <a:gd name="T52" fmla="*/ 243 w 298"/>
              <a:gd name="T53" fmla="*/ 0 h 260"/>
              <a:gd name="T54" fmla="*/ 133 w 298"/>
              <a:gd name="T55" fmla="*/ 32 h 260"/>
              <a:gd name="T56" fmla="*/ 36 w 298"/>
              <a:gd name="T57" fmla="*/ 58 h 260"/>
              <a:gd name="T58" fmla="*/ 32 w 298"/>
              <a:gd name="T59" fmla="*/ 35 h 260"/>
              <a:gd name="T60" fmla="*/ 18 w 298"/>
              <a:gd name="T61" fmla="*/ 48 h 260"/>
              <a:gd name="T62" fmla="*/ 6 w 298"/>
              <a:gd name="T63" fmla="*/ 63 h 260"/>
              <a:gd name="T64" fmla="*/ 0 w 298"/>
              <a:gd name="T65" fmla="*/ 67 h 2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298" h="260">
                <a:moveTo>
                  <a:pt x="0" y="67"/>
                </a:moveTo>
                <a:lnTo>
                  <a:pt x="1" y="71"/>
                </a:lnTo>
                <a:lnTo>
                  <a:pt x="15" y="181"/>
                </a:lnTo>
                <a:lnTo>
                  <a:pt x="25" y="260"/>
                </a:lnTo>
                <a:lnTo>
                  <a:pt x="76" y="248"/>
                </a:lnTo>
                <a:lnTo>
                  <a:pt x="160" y="227"/>
                </a:lnTo>
                <a:lnTo>
                  <a:pt x="255" y="200"/>
                </a:lnTo>
                <a:lnTo>
                  <a:pt x="256" y="195"/>
                </a:lnTo>
                <a:lnTo>
                  <a:pt x="258" y="189"/>
                </a:lnTo>
                <a:lnTo>
                  <a:pt x="262" y="185"/>
                </a:lnTo>
                <a:lnTo>
                  <a:pt x="266" y="185"/>
                </a:lnTo>
                <a:lnTo>
                  <a:pt x="269" y="185"/>
                </a:lnTo>
                <a:lnTo>
                  <a:pt x="271" y="187"/>
                </a:lnTo>
                <a:lnTo>
                  <a:pt x="275" y="181"/>
                </a:lnTo>
                <a:lnTo>
                  <a:pt x="279" y="180"/>
                </a:lnTo>
                <a:lnTo>
                  <a:pt x="283" y="175"/>
                </a:lnTo>
                <a:lnTo>
                  <a:pt x="283" y="170"/>
                </a:lnTo>
                <a:lnTo>
                  <a:pt x="286" y="166"/>
                </a:lnTo>
                <a:lnTo>
                  <a:pt x="286" y="164"/>
                </a:lnTo>
                <a:lnTo>
                  <a:pt x="286" y="164"/>
                </a:lnTo>
                <a:lnTo>
                  <a:pt x="288" y="163"/>
                </a:lnTo>
                <a:lnTo>
                  <a:pt x="291" y="158"/>
                </a:lnTo>
                <a:lnTo>
                  <a:pt x="296" y="152"/>
                </a:lnTo>
                <a:lnTo>
                  <a:pt x="298" y="147"/>
                </a:lnTo>
                <a:lnTo>
                  <a:pt x="288" y="136"/>
                </a:lnTo>
                <a:lnTo>
                  <a:pt x="284" y="131"/>
                </a:lnTo>
                <a:lnTo>
                  <a:pt x="282" y="131"/>
                </a:lnTo>
                <a:lnTo>
                  <a:pt x="278" y="127"/>
                </a:lnTo>
                <a:lnTo>
                  <a:pt x="277" y="122"/>
                </a:lnTo>
                <a:lnTo>
                  <a:pt x="273" y="119"/>
                </a:lnTo>
                <a:lnTo>
                  <a:pt x="269" y="114"/>
                </a:lnTo>
                <a:lnTo>
                  <a:pt x="268" y="104"/>
                </a:lnTo>
                <a:lnTo>
                  <a:pt x="271" y="99"/>
                </a:lnTo>
                <a:lnTo>
                  <a:pt x="272" y="94"/>
                </a:lnTo>
                <a:lnTo>
                  <a:pt x="270" y="88"/>
                </a:lnTo>
                <a:lnTo>
                  <a:pt x="269" y="87"/>
                </a:lnTo>
                <a:lnTo>
                  <a:pt x="267" y="83"/>
                </a:lnTo>
                <a:lnTo>
                  <a:pt x="271" y="78"/>
                </a:lnTo>
                <a:lnTo>
                  <a:pt x="276" y="63"/>
                </a:lnTo>
                <a:lnTo>
                  <a:pt x="276" y="58"/>
                </a:lnTo>
                <a:lnTo>
                  <a:pt x="278" y="52"/>
                </a:lnTo>
                <a:lnTo>
                  <a:pt x="282" y="46"/>
                </a:lnTo>
                <a:lnTo>
                  <a:pt x="282" y="44"/>
                </a:lnTo>
                <a:lnTo>
                  <a:pt x="277" y="42"/>
                </a:lnTo>
                <a:lnTo>
                  <a:pt x="273" y="40"/>
                </a:lnTo>
                <a:lnTo>
                  <a:pt x="266" y="36"/>
                </a:lnTo>
                <a:lnTo>
                  <a:pt x="262" y="31"/>
                </a:lnTo>
                <a:lnTo>
                  <a:pt x="261" y="26"/>
                </a:lnTo>
                <a:lnTo>
                  <a:pt x="257" y="14"/>
                </a:lnTo>
                <a:lnTo>
                  <a:pt x="253" y="8"/>
                </a:lnTo>
                <a:lnTo>
                  <a:pt x="249" y="10"/>
                </a:lnTo>
                <a:lnTo>
                  <a:pt x="247" y="4"/>
                </a:lnTo>
                <a:lnTo>
                  <a:pt x="243" y="2"/>
                </a:lnTo>
                <a:lnTo>
                  <a:pt x="243" y="0"/>
                </a:lnTo>
                <a:lnTo>
                  <a:pt x="199" y="14"/>
                </a:lnTo>
                <a:lnTo>
                  <a:pt x="133" y="32"/>
                </a:lnTo>
                <a:lnTo>
                  <a:pt x="74" y="48"/>
                </a:lnTo>
                <a:lnTo>
                  <a:pt x="36" y="58"/>
                </a:lnTo>
                <a:lnTo>
                  <a:pt x="33" y="36"/>
                </a:lnTo>
                <a:lnTo>
                  <a:pt x="32" y="35"/>
                </a:lnTo>
                <a:lnTo>
                  <a:pt x="19" y="50"/>
                </a:lnTo>
                <a:lnTo>
                  <a:pt x="18" y="48"/>
                </a:lnTo>
                <a:lnTo>
                  <a:pt x="14" y="54"/>
                </a:lnTo>
                <a:lnTo>
                  <a:pt x="6" y="63"/>
                </a:lnTo>
                <a:lnTo>
                  <a:pt x="0" y="67"/>
                </a:lnTo>
                <a:lnTo>
                  <a:pt x="0" y="67"/>
                </a:lnTo>
                <a:lnTo>
                  <a:pt x="0" y="67"/>
                </a:lnTo>
                <a:close/>
              </a:path>
            </a:pathLst>
          </a:custGeom>
          <a:solidFill>
            <a:srgbClr val="E75936">
              <a:alpha val="12170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099D9644-19A4-490E-9734-5EC4079D4EFB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37">
        <xdr:nvSpPr>
          <xdr:cNvPr id="487" name="OH">
            <a:extLst>
              <a:ext uri="{FF2B5EF4-FFF2-40B4-BE49-F238E27FC236}">
                <a16:creationId xmlns:a16="http://schemas.microsoft.com/office/drawing/2014/main" id="{00000000-0008-0000-0100-0000E7010000}"/>
              </a:ext>
            </a:extLst>
          </xdr:cNvPr>
          <xdr:cNvSpPr>
            <a:spLocks/>
          </xdr:cNvSpPr>
        </xdr:nvSpPr>
        <xdr:spPr bwMode="auto">
          <a:xfrm>
            <a:off x="4600526" y="2455355"/>
            <a:ext cx="348771" cy="389965"/>
          </a:xfrm>
          <a:custGeom>
            <a:avLst/>
            <a:gdLst>
              <a:gd name="T0" fmla="*/ 8 w 215"/>
              <a:gd name="T1" fmla="*/ 145 h 328"/>
              <a:gd name="T2" fmla="*/ 26 w 215"/>
              <a:gd name="T3" fmla="*/ 285 h 328"/>
              <a:gd name="T4" fmla="*/ 37 w 215"/>
              <a:gd name="T5" fmla="*/ 286 h 328"/>
              <a:gd name="T6" fmla="*/ 49 w 215"/>
              <a:gd name="T7" fmla="*/ 298 h 328"/>
              <a:gd name="T8" fmla="*/ 60 w 215"/>
              <a:gd name="T9" fmla="*/ 310 h 328"/>
              <a:gd name="T10" fmla="*/ 71 w 215"/>
              <a:gd name="T11" fmla="*/ 310 h 328"/>
              <a:gd name="T12" fmla="*/ 83 w 215"/>
              <a:gd name="T13" fmla="*/ 318 h 328"/>
              <a:gd name="T14" fmla="*/ 90 w 215"/>
              <a:gd name="T15" fmla="*/ 313 h 328"/>
              <a:gd name="T16" fmla="*/ 99 w 215"/>
              <a:gd name="T17" fmla="*/ 318 h 328"/>
              <a:gd name="T18" fmla="*/ 107 w 215"/>
              <a:gd name="T19" fmla="*/ 316 h 328"/>
              <a:gd name="T20" fmla="*/ 114 w 215"/>
              <a:gd name="T21" fmla="*/ 305 h 328"/>
              <a:gd name="T22" fmla="*/ 122 w 215"/>
              <a:gd name="T23" fmla="*/ 312 h 328"/>
              <a:gd name="T24" fmla="*/ 130 w 215"/>
              <a:gd name="T25" fmla="*/ 317 h 328"/>
              <a:gd name="T26" fmla="*/ 137 w 215"/>
              <a:gd name="T27" fmla="*/ 328 h 328"/>
              <a:gd name="T28" fmla="*/ 142 w 215"/>
              <a:gd name="T29" fmla="*/ 326 h 328"/>
              <a:gd name="T30" fmla="*/ 151 w 215"/>
              <a:gd name="T31" fmla="*/ 318 h 328"/>
              <a:gd name="T32" fmla="*/ 155 w 215"/>
              <a:gd name="T33" fmla="*/ 308 h 328"/>
              <a:gd name="T34" fmla="*/ 153 w 215"/>
              <a:gd name="T35" fmla="*/ 294 h 328"/>
              <a:gd name="T36" fmla="*/ 155 w 215"/>
              <a:gd name="T37" fmla="*/ 286 h 328"/>
              <a:gd name="T38" fmla="*/ 157 w 215"/>
              <a:gd name="T39" fmla="*/ 276 h 328"/>
              <a:gd name="T40" fmla="*/ 163 w 215"/>
              <a:gd name="T41" fmla="*/ 272 h 328"/>
              <a:gd name="T42" fmla="*/ 169 w 215"/>
              <a:gd name="T43" fmla="*/ 274 h 328"/>
              <a:gd name="T44" fmla="*/ 169 w 215"/>
              <a:gd name="T45" fmla="*/ 264 h 328"/>
              <a:gd name="T46" fmla="*/ 171 w 215"/>
              <a:gd name="T47" fmla="*/ 252 h 328"/>
              <a:gd name="T48" fmla="*/ 179 w 215"/>
              <a:gd name="T49" fmla="*/ 242 h 328"/>
              <a:gd name="T50" fmla="*/ 183 w 215"/>
              <a:gd name="T51" fmla="*/ 230 h 328"/>
              <a:gd name="T52" fmla="*/ 198 w 215"/>
              <a:gd name="T53" fmla="*/ 224 h 328"/>
              <a:gd name="T54" fmla="*/ 208 w 215"/>
              <a:gd name="T55" fmla="*/ 206 h 328"/>
              <a:gd name="T56" fmla="*/ 209 w 215"/>
              <a:gd name="T57" fmla="*/ 190 h 328"/>
              <a:gd name="T58" fmla="*/ 209 w 215"/>
              <a:gd name="T59" fmla="*/ 180 h 328"/>
              <a:gd name="T60" fmla="*/ 212 w 215"/>
              <a:gd name="T61" fmla="*/ 172 h 328"/>
              <a:gd name="T62" fmla="*/ 213 w 215"/>
              <a:gd name="T63" fmla="*/ 150 h 328"/>
              <a:gd name="T64" fmla="*/ 212 w 215"/>
              <a:gd name="T65" fmla="*/ 128 h 328"/>
              <a:gd name="T66" fmla="*/ 210 w 215"/>
              <a:gd name="T67" fmla="*/ 117 h 328"/>
              <a:gd name="T68" fmla="*/ 215 w 215"/>
              <a:gd name="T69" fmla="*/ 114 h 328"/>
              <a:gd name="T70" fmla="*/ 200 w 215"/>
              <a:gd name="T71" fmla="*/ 0 h 328"/>
              <a:gd name="T72" fmla="*/ 167 w 215"/>
              <a:gd name="T73" fmla="*/ 27 h 328"/>
              <a:gd name="T74" fmla="*/ 160 w 215"/>
              <a:gd name="T75" fmla="*/ 37 h 328"/>
              <a:gd name="T76" fmla="*/ 148 w 215"/>
              <a:gd name="T77" fmla="*/ 55 h 328"/>
              <a:gd name="T78" fmla="*/ 135 w 215"/>
              <a:gd name="T79" fmla="*/ 56 h 328"/>
              <a:gd name="T80" fmla="*/ 122 w 215"/>
              <a:gd name="T81" fmla="*/ 64 h 328"/>
              <a:gd name="T82" fmla="*/ 114 w 215"/>
              <a:gd name="T83" fmla="*/ 71 h 328"/>
              <a:gd name="T84" fmla="*/ 105 w 215"/>
              <a:gd name="T85" fmla="*/ 67 h 328"/>
              <a:gd name="T86" fmla="*/ 93 w 215"/>
              <a:gd name="T87" fmla="*/ 72 h 328"/>
              <a:gd name="T88" fmla="*/ 93 w 215"/>
              <a:gd name="T89" fmla="*/ 65 h 328"/>
              <a:gd name="T90" fmla="*/ 96 w 215"/>
              <a:gd name="T91" fmla="*/ 59 h 328"/>
              <a:gd name="T92" fmla="*/ 87 w 215"/>
              <a:gd name="T93" fmla="*/ 63 h 328"/>
              <a:gd name="T94" fmla="*/ 77 w 215"/>
              <a:gd name="T95" fmla="*/ 56 h 328"/>
              <a:gd name="T96" fmla="*/ 65 w 215"/>
              <a:gd name="T97" fmla="*/ 52 h 328"/>
              <a:gd name="T98" fmla="*/ 44 w 215"/>
              <a:gd name="T99" fmla="*/ 56 h 328"/>
              <a:gd name="T100" fmla="*/ 0 w 215"/>
              <a:gd name="T101" fmla="*/ 65 h 3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</a:cxnLst>
            <a:rect l="0" t="0" r="r" b="b"/>
            <a:pathLst>
              <a:path w="215" h="328">
                <a:moveTo>
                  <a:pt x="0" y="65"/>
                </a:moveTo>
                <a:lnTo>
                  <a:pt x="8" y="145"/>
                </a:lnTo>
                <a:lnTo>
                  <a:pt x="20" y="289"/>
                </a:lnTo>
                <a:lnTo>
                  <a:pt x="26" y="285"/>
                </a:lnTo>
                <a:lnTo>
                  <a:pt x="30" y="289"/>
                </a:lnTo>
                <a:lnTo>
                  <a:pt x="37" y="286"/>
                </a:lnTo>
                <a:lnTo>
                  <a:pt x="47" y="292"/>
                </a:lnTo>
                <a:lnTo>
                  <a:pt x="49" y="298"/>
                </a:lnTo>
                <a:lnTo>
                  <a:pt x="55" y="309"/>
                </a:lnTo>
                <a:lnTo>
                  <a:pt x="60" y="310"/>
                </a:lnTo>
                <a:lnTo>
                  <a:pt x="68" y="309"/>
                </a:lnTo>
                <a:lnTo>
                  <a:pt x="71" y="310"/>
                </a:lnTo>
                <a:lnTo>
                  <a:pt x="79" y="318"/>
                </a:lnTo>
                <a:lnTo>
                  <a:pt x="83" y="318"/>
                </a:lnTo>
                <a:lnTo>
                  <a:pt x="86" y="313"/>
                </a:lnTo>
                <a:lnTo>
                  <a:pt x="90" y="313"/>
                </a:lnTo>
                <a:lnTo>
                  <a:pt x="95" y="313"/>
                </a:lnTo>
                <a:lnTo>
                  <a:pt x="99" y="318"/>
                </a:lnTo>
                <a:lnTo>
                  <a:pt x="103" y="316"/>
                </a:lnTo>
                <a:lnTo>
                  <a:pt x="107" y="316"/>
                </a:lnTo>
                <a:lnTo>
                  <a:pt x="110" y="310"/>
                </a:lnTo>
                <a:lnTo>
                  <a:pt x="114" y="305"/>
                </a:lnTo>
                <a:lnTo>
                  <a:pt x="119" y="302"/>
                </a:lnTo>
                <a:lnTo>
                  <a:pt x="122" y="312"/>
                </a:lnTo>
                <a:lnTo>
                  <a:pt x="126" y="317"/>
                </a:lnTo>
                <a:lnTo>
                  <a:pt x="130" y="317"/>
                </a:lnTo>
                <a:lnTo>
                  <a:pt x="134" y="322"/>
                </a:lnTo>
                <a:lnTo>
                  <a:pt x="137" y="328"/>
                </a:lnTo>
                <a:lnTo>
                  <a:pt x="138" y="328"/>
                </a:lnTo>
                <a:lnTo>
                  <a:pt x="142" y="326"/>
                </a:lnTo>
                <a:lnTo>
                  <a:pt x="148" y="324"/>
                </a:lnTo>
                <a:lnTo>
                  <a:pt x="151" y="318"/>
                </a:lnTo>
                <a:lnTo>
                  <a:pt x="151" y="312"/>
                </a:lnTo>
                <a:lnTo>
                  <a:pt x="155" y="308"/>
                </a:lnTo>
                <a:lnTo>
                  <a:pt x="154" y="297"/>
                </a:lnTo>
                <a:lnTo>
                  <a:pt x="153" y="294"/>
                </a:lnTo>
                <a:lnTo>
                  <a:pt x="154" y="289"/>
                </a:lnTo>
                <a:lnTo>
                  <a:pt x="155" y="286"/>
                </a:lnTo>
                <a:lnTo>
                  <a:pt x="155" y="281"/>
                </a:lnTo>
                <a:lnTo>
                  <a:pt x="157" y="276"/>
                </a:lnTo>
                <a:lnTo>
                  <a:pt x="160" y="269"/>
                </a:lnTo>
                <a:lnTo>
                  <a:pt x="163" y="272"/>
                </a:lnTo>
                <a:lnTo>
                  <a:pt x="168" y="280"/>
                </a:lnTo>
                <a:lnTo>
                  <a:pt x="169" y="274"/>
                </a:lnTo>
                <a:lnTo>
                  <a:pt x="172" y="269"/>
                </a:lnTo>
                <a:lnTo>
                  <a:pt x="169" y="264"/>
                </a:lnTo>
                <a:lnTo>
                  <a:pt x="171" y="258"/>
                </a:lnTo>
                <a:lnTo>
                  <a:pt x="171" y="252"/>
                </a:lnTo>
                <a:lnTo>
                  <a:pt x="173" y="246"/>
                </a:lnTo>
                <a:lnTo>
                  <a:pt x="179" y="242"/>
                </a:lnTo>
                <a:lnTo>
                  <a:pt x="179" y="237"/>
                </a:lnTo>
                <a:lnTo>
                  <a:pt x="183" y="230"/>
                </a:lnTo>
                <a:lnTo>
                  <a:pt x="190" y="234"/>
                </a:lnTo>
                <a:lnTo>
                  <a:pt x="198" y="224"/>
                </a:lnTo>
                <a:lnTo>
                  <a:pt x="203" y="213"/>
                </a:lnTo>
                <a:lnTo>
                  <a:pt x="208" y="206"/>
                </a:lnTo>
                <a:lnTo>
                  <a:pt x="210" y="196"/>
                </a:lnTo>
                <a:lnTo>
                  <a:pt x="209" y="190"/>
                </a:lnTo>
                <a:lnTo>
                  <a:pt x="210" y="185"/>
                </a:lnTo>
                <a:lnTo>
                  <a:pt x="209" y="180"/>
                </a:lnTo>
                <a:lnTo>
                  <a:pt x="211" y="180"/>
                </a:lnTo>
                <a:lnTo>
                  <a:pt x="212" y="172"/>
                </a:lnTo>
                <a:lnTo>
                  <a:pt x="211" y="166"/>
                </a:lnTo>
                <a:lnTo>
                  <a:pt x="213" y="150"/>
                </a:lnTo>
                <a:lnTo>
                  <a:pt x="215" y="144"/>
                </a:lnTo>
                <a:lnTo>
                  <a:pt x="212" y="128"/>
                </a:lnTo>
                <a:lnTo>
                  <a:pt x="209" y="122"/>
                </a:lnTo>
                <a:lnTo>
                  <a:pt x="210" y="117"/>
                </a:lnTo>
                <a:lnTo>
                  <a:pt x="212" y="117"/>
                </a:lnTo>
                <a:lnTo>
                  <a:pt x="215" y="114"/>
                </a:lnTo>
                <a:lnTo>
                  <a:pt x="201" y="4"/>
                </a:lnTo>
                <a:lnTo>
                  <a:pt x="200" y="0"/>
                </a:lnTo>
                <a:lnTo>
                  <a:pt x="176" y="20"/>
                </a:lnTo>
                <a:lnTo>
                  <a:pt x="167" y="27"/>
                </a:lnTo>
                <a:lnTo>
                  <a:pt x="163" y="32"/>
                </a:lnTo>
                <a:lnTo>
                  <a:pt x="160" y="37"/>
                </a:lnTo>
                <a:lnTo>
                  <a:pt x="156" y="45"/>
                </a:lnTo>
                <a:lnTo>
                  <a:pt x="148" y="55"/>
                </a:lnTo>
                <a:lnTo>
                  <a:pt x="139" y="56"/>
                </a:lnTo>
                <a:lnTo>
                  <a:pt x="135" y="56"/>
                </a:lnTo>
                <a:lnTo>
                  <a:pt x="126" y="61"/>
                </a:lnTo>
                <a:lnTo>
                  <a:pt x="122" y="64"/>
                </a:lnTo>
                <a:lnTo>
                  <a:pt x="118" y="67"/>
                </a:lnTo>
                <a:lnTo>
                  <a:pt x="114" y="71"/>
                </a:lnTo>
                <a:lnTo>
                  <a:pt x="110" y="69"/>
                </a:lnTo>
                <a:lnTo>
                  <a:pt x="105" y="67"/>
                </a:lnTo>
                <a:lnTo>
                  <a:pt x="97" y="67"/>
                </a:lnTo>
                <a:lnTo>
                  <a:pt x="93" y="72"/>
                </a:lnTo>
                <a:lnTo>
                  <a:pt x="89" y="71"/>
                </a:lnTo>
                <a:lnTo>
                  <a:pt x="93" y="65"/>
                </a:lnTo>
                <a:lnTo>
                  <a:pt x="99" y="64"/>
                </a:lnTo>
                <a:lnTo>
                  <a:pt x="96" y="59"/>
                </a:lnTo>
                <a:lnTo>
                  <a:pt x="92" y="64"/>
                </a:lnTo>
                <a:lnTo>
                  <a:pt x="87" y="63"/>
                </a:lnTo>
                <a:lnTo>
                  <a:pt x="83" y="59"/>
                </a:lnTo>
                <a:lnTo>
                  <a:pt x="77" y="56"/>
                </a:lnTo>
                <a:lnTo>
                  <a:pt x="73" y="53"/>
                </a:lnTo>
                <a:lnTo>
                  <a:pt x="65" y="52"/>
                </a:lnTo>
                <a:lnTo>
                  <a:pt x="63" y="51"/>
                </a:lnTo>
                <a:lnTo>
                  <a:pt x="44" y="56"/>
                </a:lnTo>
                <a:lnTo>
                  <a:pt x="0" y="65"/>
                </a:lnTo>
                <a:lnTo>
                  <a:pt x="0" y="65"/>
                </a:lnTo>
                <a:lnTo>
                  <a:pt x="0" y="65"/>
                </a:lnTo>
                <a:close/>
              </a:path>
            </a:pathLst>
          </a:custGeom>
          <a:solidFill>
            <a:srgbClr val="E75936">
              <a:alpha val="7763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54A5057C-063C-4496-9EA4-3F9D3EB0E25F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15">
        <xdr:nvSpPr>
          <xdr:cNvPr id="475" name="IL">
            <a:extLst>
              <a:ext uri="{FF2B5EF4-FFF2-40B4-BE49-F238E27FC236}">
                <a16:creationId xmlns:a16="http://schemas.microsoft.com/office/drawing/2014/main" id="{00000000-0008-0000-0100-0000DB010000}"/>
              </a:ext>
            </a:extLst>
          </xdr:cNvPr>
          <xdr:cNvSpPr>
            <a:spLocks/>
          </xdr:cNvSpPr>
        </xdr:nvSpPr>
        <xdr:spPr bwMode="auto">
          <a:xfrm>
            <a:off x="4090658" y="2483930"/>
            <a:ext cx="328893" cy="575422"/>
          </a:xfrm>
          <a:custGeom>
            <a:avLst/>
            <a:gdLst>
              <a:gd name="T0" fmla="*/ 0 w 205"/>
              <a:gd name="T1" fmla="*/ 212 h 485"/>
              <a:gd name="T2" fmla="*/ 3 w 205"/>
              <a:gd name="T3" fmla="*/ 237 h 485"/>
              <a:gd name="T4" fmla="*/ 9 w 205"/>
              <a:gd name="T5" fmla="*/ 259 h 485"/>
              <a:gd name="T6" fmla="*/ 23 w 205"/>
              <a:gd name="T7" fmla="*/ 275 h 485"/>
              <a:gd name="T8" fmla="*/ 39 w 205"/>
              <a:gd name="T9" fmla="*/ 292 h 485"/>
              <a:gd name="T10" fmla="*/ 49 w 205"/>
              <a:gd name="T11" fmla="*/ 327 h 485"/>
              <a:gd name="T12" fmla="*/ 58 w 205"/>
              <a:gd name="T13" fmla="*/ 320 h 485"/>
              <a:gd name="T14" fmla="*/ 74 w 205"/>
              <a:gd name="T15" fmla="*/ 329 h 485"/>
              <a:gd name="T16" fmla="*/ 72 w 205"/>
              <a:gd name="T17" fmla="*/ 348 h 485"/>
              <a:gd name="T18" fmla="*/ 64 w 205"/>
              <a:gd name="T19" fmla="*/ 372 h 485"/>
              <a:gd name="T20" fmla="*/ 72 w 205"/>
              <a:gd name="T21" fmla="*/ 393 h 485"/>
              <a:gd name="T22" fmla="*/ 88 w 205"/>
              <a:gd name="T23" fmla="*/ 412 h 485"/>
              <a:gd name="T24" fmla="*/ 102 w 205"/>
              <a:gd name="T25" fmla="*/ 421 h 485"/>
              <a:gd name="T26" fmla="*/ 111 w 205"/>
              <a:gd name="T27" fmla="*/ 439 h 485"/>
              <a:gd name="T28" fmla="*/ 112 w 205"/>
              <a:gd name="T29" fmla="*/ 461 h 485"/>
              <a:gd name="T30" fmla="*/ 128 w 205"/>
              <a:gd name="T31" fmla="*/ 481 h 485"/>
              <a:gd name="T32" fmla="*/ 131 w 205"/>
              <a:gd name="T33" fmla="*/ 476 h 485"/>
              <a:gd name="T34" fmla="*/ 146 w 205"/>
              <a:gd name="T35" fmla="*/ 464 h 485"/>
              <a:gd name="T36" fmla="*/ 161 w 205"/>
              <a:gd name="T37" fmla="*/ 473 h 485"/>
              <a:gd name="T38" fmla="*/ 167 w 205"/>
              <a:gd name="T39" fmla="*/ 463 h 485"/>
              <a:gd name="T40" fmla="*/ 164 w 205"/>
              <a:gd name="T41" fmla="*/ 445 h 485"/>
              <a:gd name="T42" fmla="*/ 181 w 205"/>
              <a:gd name="T43" fmla="*/ 437 h 485"/>
              <a:gd name="T44" fmla="*/ 180 w 205"/>
              <a:gd name="T45" fmla="*/ 420 h 485"/>
              <a:gd name="T46" fmla="*/ 184 w 205"/>
              <a:gd name="T47" fmla="*/ 408 h 485"/>
              <a:gd name="T48" fmla="*/ 184 w 205"/>
              <a:gd name="T49" fmla="*/ 385 h 485"/>
              <a:gd name="T50" fmla="*/ 185 w 205"/>
              <a:gd name="T51" fmla="*/ 373 h 485"/>
              <a:gd name="T52" fmla="*/ 193 w 205"/>
              <a:gd name="T53" fmla="*/ 357 h 485"/>
              <a:gd name="T54" fmla="*/ 203 w 205"/>
              <a:gd name="T55" fmla="*/ 329 h 485"/>
              <a:gd name="T56" fmla="*/ 202 w 205"/>
              <a:gd name="T57" fmla="*/ 311 h 485"/>
              <a:gd name="T58" fmla="*/ 196 w 205"/>
              <a:gd name="T59" fmla="*/ 293 h 485"/>
              <a:gd name="T60" fmla="*/ 196 w 205"/>
              <a:gd name="T61" fmla="*/ 276 h 485"/>
              <a:gd name="T62" fmla="*/ 186 w 205"/>
              <a:gd name="T63" fmla="*/ 66 h 485"/>
              <a:gd name="T64" fmla="*/ 178 w 205"/>
              <a:gd name="T65" fmla="*/ 47 h 485"/>
              <a:gd name="T66" fmla="*/ 168 w 205"/>
              <a:gd name="T67" fmla="*/ 23 h 485"/>
              <a:gd name="T68" fmla="*/ 167 w 205"/>
              <a:gd name="T69" fmla="*/ 0 h 485"/>
              <a:gd name="T70" fmla="*/ 33 w 205"/>
              <a:gd name="T71" fmla="*/ 14 h 485"/>
              <a:gd name="T72" fmla="*/ 44 w 205"/>
              <a:gd name="T73" fmla="*/ 28 h 485"/>
              <a:gd name="T74" fmla="*/ 53 w 205"/>
              <a:gd name="T75" fmla="*/ 42 h 485"/>
              <a:gd name="T76" fmla="*/ 57 w 205"/>
              <a:gd name="T77" fmla="*/ 71 h 485"/>
              <a:gd name="T78" fmla="*/ 47 w 205"/>
              <a:gd name="T79" fmla="*/ 96 h 485"/>
              <a:gd name="T80" fmla="*/ 19 w 205"/>
              <a:gd name="T81" fmla="*/ 109 h 485"/>
              <a:gd name="T82" fmla="*/ 24 w 205"/>
              <a:gd name="T83" fmla="*/ 137 h 485"/>
              <a:gd name="T84" fmla="*/ 18 w 205"/>
              <a:gd name="T85" fmla="*/ 163 h 485"/>
              <a:gd name="T86" fmla="*/ 7 w 205"/>
              <a:gd name="T87" fmla="*/ 181 h 485"/>
              <a:gd name="T88" fmla="*/ 6 w 205"/>
              <a:gd name="T89" fmla="*/ 197 h 485"/>
              <a:gd name="T90" fmla="*/ 3 w 205"/>
              <a:gd name="T91" fmla="*/ 201 h 48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205" h="485">
                <a:moveTo>
                  <a:pt x="3" y="201"/>
                </a:moveTo>
                <a:lnTo>
                  <a:pt x="1" y="207"/>
                </a:lnTo>
                <a:lnTo>
                  <a:pt x="0" y="212"/>
                </a:lnTo>
                <a:lnTo>
                  <a:pt x="0" y="223"/>
                </a:lnTo>
                <a:lnTo>
                  <a:pt x="2" y="235"/>
                </a:lnTo>
                <a:lnTo>
                  <a:pt x="3" y="237"/>
                </a:lnTo>
                <a:lnTo>
                  <a:pt x="6" y="248"/>
                </a:lnTo>
                <a:lnTo>
                  <a:pt x="8" y="253"/>
                </a:lnTo>
                <a:lnTo>
                  <a:pt x="9" y="259"/>
                </a:lnTo>
                <a:lnTo>
                  <a:pt x="15" y="264"/>
                </a:lnTo>
                <a:lnTo>
                  <a:pt x="19" y="271"/>
                </a:lnTo>
                <a:lnTo>
                  <a:pt x="23" y="275"/>
                </a:lnTo>
                <a:lnTo>
                  <a:pt x="25" y="280"/>
                </a:lnTo>
                <a:lnTo>
                  <a:pt x="35" y="288"/>
                </a:lnTo>
                <a:lnTo>
                  <a:pt x="39" y="292"/>
                </a:lnTo>
                <a:lnTo>
                  <a:pt x="42" y="297"/>
                </a:lnTo>
                <a:lnTo>
                  <a:pt x="46" y="321"/>
                </a:lnTo>
                <a:lnTo>
                  <a:pt x="49" y="327"/>
                </a:lnTo>
                <a:lnTo>
                  <a:pt x="54" y="325"/>
                </a:lnTo>
                <a:lnTo>
                  <a:pt x="56" y="320"/>
                </a:lnTo>
                <a:lnTo>
                  <a:pt x="58" y="320"/>
                </a:lnTo>
                <a:lnTo>
                  <a:pt x="62" y="321"/>
                </a:lnTo>
                <a:lnTo>
                  <a:pt x="66" y="323"/>
                </a:lnTo>
                <a:lnTo>
                  <a:pt x="74" y="329"/>
                </a:lnTo>
                <a:lnTo>
                  <a:pt x="74" y="332"/>
                </a:lnTo>
                <a:lnTo>
                  <a:pt x="71" y="339"/>
                </a:lnTo>
                <a:lnTo>
                  <a:pt x="72" y="348"/>
                </a:lnTo>
                <a:lnTo>
                  <a:pt x="69" y="356"/>
                </a:lnTo>
                <a:lnTo>
                  <a:pt x="67" y="367"/>
                </a:lnTo>
                <a:lnTo>
                  <a:pt x="64" y="372"/>
                </a:lnTo>
                <a:lnTo>
                  <a:pt x="64" y="377"/>
                </a:lnTo>
                <a:lnTo>
                  <a:pt x="65" y="383"/>
                </a:lnTo>
                <a:lnTo>
                  <a:pt x="72" y="393"/>
                </a:lnTo>
                <a:lnTo>
                  <a:pt x="85" y="405"/>
                </a:lnTo>
                <a:lnTo>
                  <a:pt x="87" y="405"/>
                </a:lnTo>
                <a:lnTo>
                  <a:pt x="88" y="412"/>
                </a:lnTo>
                <a:lnTo>
                  <a:pt x="92" y="409"/>
                </a:lnTo>
                <a:lnTo>
                  <a:pt x="99" y="415"/>
                </a:lnTo>
                <a:lnTo>
                  <a:pt x="102" y="421"/>
                </a:lnTo>
                <a:lnTo>
                  <a:pt x="106" y="424"/>
                </a:lnTo>
                <a:lnTo>
                  <a:pt x="110" y="427"/>
                </a:lnTo>
                <a:lnTo>
                  <a:pt x="111" y="439"/>
                </a:lnTo>
                <a:lnTo>
                  <a:pt x="116" y="449"/>
                </a:lnTo>
                <a:lnTo>
                  <a:pt x="115" y="456"/>
                </a:lnTo>
                <a:lnTo>
                  <a:pt x="112" y="461"/>
                </a:lnTo>
                <a:lnTo>
                  <a:pt x="117" y="472"/>
                </a:lnTo>
                <a:lnTo>
                  <a:pt x="124" y="484"/>
                </a:lnTo>
                <a:lnTo>
                  <a:pt x="128" y="481"/>
                </a:lnTo>
                <a:lnTo>
                  <a:pt x="134" y="485"/>
                </a:lnTo>
                <a:lnTo>
                  <a:pt x="131" y="481"/>
                </a:lnTo>
                <a:lnTo>
                  <a:pt x="131" y="476"/>
                </a:lnTo>
                <a:lnTo>
                  <a:pt x="137" y="465"/>
                </a:lnTo>
                <a:lnTo>
                  <a:pt x="141" y="464"/>
                </a:lnTo>
                <a:lnTo>
                  <a:pt x="146" y="464"/>
                </a:lnTo>
                <a:lnTo>
                  <a:pt x="150" y="467"/>
                </a:lnTo>
                <a:lnTo>
                  <a:pt x="158" y="471"/>
                </a:lnTo>
                <a:lnTo>
                  <a:pt x="161" y="473"/>
                </a:lnTo>
                <a:lnTo>
                  <a:pt x="165" y="475"/>
                </a:lnTo>
                <a:lnTo>
                  <a:pt x="168" y="468"/>
                </a:lnTo>
                <a:lnTo>
                  <a:pt x="167" y="463"/>
                </a:lnTo>
                <a:lnTo>
                  <a:pt x="164" y="457"/>
                </a:lnTo>
                <a:lnTo>
                  <a:pt x="163" y="451"/>
                </a:lnTo>
                <a:lnTo>
                  <a:pt x="164" y="445"/>
                </a:lnTo>
                <a:lnTo>
                  <a:pt x="168" y="444"/>
                </a:lnTo>
                <a:lnTo>
                  <a:pt x="173" y="440"/>
                </a:lnTo>
                <a:lnTo>
                  <a:pt x="181" y="437"/>
                </a:lnTo>
                <a:lnTo>
                  <a:pt x="184" y="432"/>
                </a:lnTo>
                <a:lnTo>
                  <a:pt x="180" y="427"/>
                </a:lnTo>
                <a:lnTo>
                  <a:pt x="180" y="420"/>
                </a:lnTo>
                <a:lnTo>
                  <a:pt x="182" y="415"/>
                </a:lnTo>
                <a:lnTo>
                  <a:pt x="184" y="409"/>
                </a:lnTo>
                <a:lnTo>
                  <a:pt x="184" y="408"/>
                </a:lnTo>
                <a:lnTo>
                  <a:pt x="181" y="401"/>
                </a:lnTo>
                <a:lnTo>
                  <a:pt x="183" y="396"/>
                </a:lnTo>
                <a:lnTo>
                  <a:pt x="184" y="385"/>
                </a:lnTo>
                <a:lnTo>
                  <a:pt x="184" y="385"/>
                </a:lnTo>
                <a:lnTo>
                  <a:pt x="186" y="375"/>
                </a:lnTo>
                <a:lnTo>
                  <a:pt x="185" y="373"/>
                </a:lnTo>
                <a:lnTo>
                  <a:pt x="186" y="367"/>
                </a:lnTo>
                <a:lnTo>
                  <a:pt x="189" y="363"/>
                </a:lnTo>
                <a:lnTo>
                  <a:pt x="193" y="357"/>
                </a:lnTo>
                <a:lnTo>
                  <a:pt x="198" y="345"/>
                </a:lnTo>
                <a:lnTo>
                  <a:pt x="198" y="340"/>
                </a:lnTo>
                <a:lnTo>
                  <a:pt x="203" y="329"/>
                </a:lnTo>
                <a:lnTo>
                  <a:pt x="204" y="328"/>
                </a:lnTo>
                <a:lnTo>
                  <a:pt x="205" y="321"/>
                </a:lnTo>
                <a:lnTo>
                  <a:pt x="202" y="311"/>
                </a:lnTo>
                <a:lnTo>
                  <a:pt x="203" y="305"/>
                </a:lnTo>
                <a:lnTo>
                  <a:pt x="199" y="300"/>
                </a:lnTo>
                <a:lnTo>
                  <a:pt x="196" y="293"/>
                </a:lnTo>
                <a:lnTo>
                  <a:pt x="195" y="287"/>
                </a:lnTo>
                <a:lnTo>
                  <a:pt x="198" y="281"/>
                </a:lnTo>
                <a:lnTo>
                  <a:pt x="196" y="276"/>
                </a:lnTo>
                <a:lnTo>
                  <a:pt x="200" y="269"/>
                </a:lnTo>
                <a:lnTo>
                  <a:pt x="186" y="68"/>
                </a:lnTo>
                <a:lnTo>
                  <a:pt x="186" y="66"/>
                </a:lnTo>
                <a:lnTo>
                  <a:pt x="181" y="58"/>
                </a:lnTo>
                <a:lnTo>
                  <a:pt x="180" y="52"/>
                </a:lnTo>
                <a:lnTo>
                  <a:pt x="178" y="47"/>
                </a:lnTo>
                <a:lnTo>
                  <a:pt x="176" y="38"/>
                </a:lnTo>
                <a:lnTo>
                  <a:pt x="172" y="34"/>
                </a:lnTo>
                <a:lnTo>
                  <a:pt x="168" y="23"/>
                </a:lnTo>
                <a:lnTo>
                  <a:pt x="167" y="18"/>
                </a:lnTo>
                <a:lnTo>
                  <a:pt x="168" y="6"/>
                </a:lnTo>
                <a:lnTo>
                  <a:pt x="167" y="0"/>
                </a:lnTo>
                <a:lnTo>
                  <a:pt x="165" y="0"/>
                </a:lnTo>
                <a:lnTo>
                  <a:pt x="108" y="7"/>
                </a:lnTo>
                <a:lnTo>
                  <a:pt x="33" y="14"/>
                </a:lnTo>
                <a:lnTo>
                  <a:pt x="32" y="15"/>
                </a:lnTo>
                <a:lnTo>
                  <a:pt x="36" y="19"/>
                </a:lnTo>
                <a:lnTo>
                  <a:pt x="44" y="28"/>
                </a:lnTo>
                <a:lnTo>
                  <a:pt x="45" y="35"/>
                </a:lnTo>
                <a:lnTo>
                  <a:pt x="49" y="39"/>
                </a:lnTo>
                <a:lnTo>
                  <a:pt x="53" y="42"/>
                </a:lnTo>
                <a:lnTo>
                  <a:pt x="57" y="47"/>
                </a:lnTo>
                <a:lnTo>
                  <a:pt x="59" y="54"/>
                </a:lnTo>
                <a:lnTo>
                  <a:pt x="57" y="71"/>
                </a:lnTo>
                <a:lnTo>
                  <a:pt x="52" y="80"/>
                </a:lnTo>
                <a:lnTo>
                  <a:pt x="51" y="92"/>
                </a:lnTo>
                <a:lnTo>
                  <a:pt x="47" y="96"/>
                </a:lnTo>
                <a:lnTo>
                  <a:pt x="38" y="101"/>
                </a:lnTo>
                <a:lnTo>
                  <a:pt x="34" y="105"/>
                </a:lnTo>
                <a:lnTo>
                  <a:pt x="19" y="109"/>
                </a:lnTo>
                <a:lnTo>
                  <a:pt x="17" y="115"/>
                </a:lnTo>
                <a:lnTo>
                  <a:pt x="16" y="127"/>
                </a:lnTo>
                <a:lnTo>
                  <a:pt x="24" y="137"/>
                </a:lnTo>
                <a:lnTo>
                  <a:pt x="24" y="149"/>
                </a:lnTo>
                <a:lnTo>
                  <a:pt x="18" y="160"/>
                </a:lnTo>
                <a:lnTo>
                  <a:pt x="18" y="163"/>
                </a:lnTo>
                <a:lnTo>
                  <a:pt x="18" y="169"/>
                </a:lnTo>
                <a:lnTo>
                  <a:pt x="16" y="175"/>
                </a:lnTo>
                <a:lnTo>
                  <a:pt x="7" y="181"/>
                </a:lnTo>
                <a:lnTo>
                  <a:pt x="3" y="187"/>
                </a:lnTo>
                <a:lnTo>
                  <a:pt x="6" y="192"/>
                </a:lnTo>
                <a:lnTo>
                  <a:pt x="6" y="197"/>
                </a:lnTo>
                <a:lnTo>
                  <a:pt x="3" y="201"/>
                </a:lnTo>
                <a:lnTo>
                  <a:pt x="3" y="201"/>
                </a:lnTo>
                <a:lnTo>
                  <a:pt x="3" y="201"/>
                </a:lnTo>
                <a:close/>
              </a:path>
            </a:pathLst>
          </a:custGeom>
          <a:solidFill>
            <a:srgbClr val="E75936">
              <a:alpha val="17728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22F689D6-1D59-498B-BE03-602533B5D226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5">
        <xdr:nvSpPr>
          <xdr:cNvPr id="469" name="AR">
            <a:extLst>
              <a:ext uri="{FF2B5EF4-FFF2-40B4-BE49-F238E27FC236}">
                <a16:creationId xmlns:a16="http://schemas.microsoft.com/office/drawing/2014/main" id="{00000000-0008-0000-0100-0000D5010000}"/>
              </a:ext>
            </a:extLst>
          </xdr:cNvPr>
          <xdr:cNvSpPr>
            <a:spLocks/>
          </xdr:cNvSpPr>
        </xdr:nvSpPr>
        <xdr:spPr bwMode="auto">
          <a:xfrm>
            <a:off x="3852533" y="3111459"/>
            <a:ext cx="414618" cy="380440"/>
          </a:xfrm>
          <a:custGeom>
            <a:avLst/>
            <a:gdLst>
              <a:gd name="T0" fmla="*/ 9 w 256"/>
              <a:gd name="T1" fmla="*/ 88 h 317"/>
              <a:gd name="T2" fmla="*/ 12 w 256"/>
              <a:gd name="T3" fmla="*/ 262 h 317"/>
              <a:gd name="T4" fmla="*/ 14 w 256"/>
              <a:gd name="T5" fmla="*/ 266 h 317"/>
              <a:gd name="T6" fmla="*/ 22 w 256"/>
              <a:gd name="T7" fmla="*/ 266 h 317"/>
              <a:gd name="T8" fmla="*/ 37 w 256"/>
              <a:gd name="T9" fmla="*/ 317 h 317"/>
              <a:gd name="T10" fmla="*/ 191 w 256"/>
              <a:gd name="T11" fmla="*/ 306 h 317"/>
              <a:gd name="T12" fmla="*/ 190 w 256"/>
              <a:gd name="T13" fmla="*/ 294 h 317"/>
              <a:gd name="T14" fmla="*/ 195 w 256"/>
              <a:gd name="T15" fmla="*/ 293 h 317"/>
              <a:gd name="T16" fmla="*/ 192 w 256"/>
              <a:gd name="T17" fmla="*/ 284 h 317"/>
              <a:gd name="T18" fmla="*/ 192 w 256"/>
              <a:gd name="T19" fmla="*/ 272 h 317"/>
              <a:gd name="T20" fmla="*/ 188 w 256"/>
              <a:gd name="T21" fmla="*/ 272 h 317"/>
              <a:gd name="T22" fmla="*/ 189 w 256"/>
              <a:gd name="T23" fmla="*/ 264 h 317"/>
              <a:gd name="T24" fmla="*/ 188 w 256"/>
              <a:gd name="T25" fmla="*/ 262 h 317"/>
              <a:gd name="T26" fmla="*/ 189 w 256"/>
              <a:gd name="T27" fmla="*/ 254 h 317"/>
              <a:gd name="T28" fmla="*/ 188 w 256"/>
              <a:gd name="T29" fmla="*/ 246 h 317"/>
              <a:gd name="T30" fmla="*/ 194 w 256"/>
              <a:gd name="T31" fmla="*/ 245 h 317"/>
              <a:gd name="T32" fmla="*/ 189 w 256"/>
              <a:gd name="T33" fmla="*/ 238 h 317"/>
              <a:gd name="T34" fmla="*/ 194 w 256"/>
              <a:gd name="T35" fmla="*/ 236 h 317"/>
              <a:gd name="T36" fmla="*/ 194 w 256"/>
              <a:gd name="T37" fmla="*/ 225 h 317"/>
              <a:gd name="T38" fmla="*/ 202 w 256"/>
              <a:gd name="T39" fmla="*/ 216 h 317"/>
              <a:gd name="T40" fmla="*/ 200 w 256"/>
              <a:gd name="T41" fmla="*/ 205 h 317"/>
              <a:gd name="T42" fmla="*/ 199 w 256"/>
              <a:gd name="T43" fmla="*/ 200 h 317"/>
              <a:gd name="T44" fmla="*/ 204 w 256"/>
              <a:gd name="T45" fmla="*/ 198 h 317"/>
              <a:gd name="T46" fmla="*/ 207 w 256"/>
              <a:gd name="T47" fmla="*/ 188 h 317"/>
              <a:gd name="T48" fmla="*/ 214 w 256"/>
              <a:gd name="T49" fmla="*/ 185 h 317"/>
              <a:gd name="T50" fmla="*/ 216 w 256"/>
              <a:gd name="T51" fmla="*/ 176 h 317"/>
              <a:gd name="T52" fmla="*/ 215 w 256"/>
              <a:gd name="T53" fmla="*/ 166 h 317"/>
              <a:gd name="T54" fmla="*/ 217 w 256"/>
              <a:gd name="T55" fmla="*/ 162 h 317"/>
              <a:gd name="T56" fmla="*/ 217 w 256"/>
              <a:gd name="T57" fmla="*/ 157 h 317"/>
              <a:gd name="T58" fmla="*/ 218 w 256"/>
              <a:gd name="T59" fmla="*/ 154 h 317"/>
              <a:gd name="T60" fmla="*/ 220 w 256"/>
              <a:gd name="T61" fmla="*/ 142 h 317"/>
              <a:gd name="T62" fmla="*/ 227 w 256"/>
              <a:gd name="T63" fmla="*/ 144 h 317"/>
              <a:gd name="T64" fmla="*/ 230 w 256"/>
              <a:gd name="T65" fmla="*/ 133 h 317"/>
              <a:gd name="T66" fmla="*/ 229 w 256"/>
              <a:gd name="T67" fmla="*/ 129 h 317"/>
              <a:gd name="T68" fmla="*/ 235 w 256"/>
              <a:gd name="T69" fmla="*/ 121 h 317"/>
              <a:gd name="T70" fmla="*/ 239 w 256"/>
              <a:gd name="T71" fmla="*/ 117 h 317"/>
              <a:gd name="T72" fmla="*/ 238 w 256"/>
              <a:gd name="T73" fmla="*/ 96 h 317"/>
              <a:gd name="T74" fmla="*/ 235 w 256"/>
              <a:gd name="T75" fmla="*/ 92 h 317"/>
              <a:gd name="T76" fmla="*/ 240 w 256"/>
              <a:gd name="T77" fmla="*/ 93 h 317"/>
              <a:gd name="T78" fmla="*/ 239 w 256"/>
              <a:gd name="T79" fmla="*/ 84 h 317"/>
              <a:gd name="T80" fmla="*/ 244 w 256"/>
              <a:gd name="T81" fmla="*/ 77 h 317"/>
              <a:gd name="T82" fmla="*/ 244 w 256"/>
              <a:gd name="T83" fmla="*/ 69 h 317"/>
              <a:gd name="T84" fmla="*/ 246 w 256"/>
              <a:gd name="T85" fmla="*/ 65 h 317"/>
              <a:gd name="T86" fmla="*/ 254 w 256"/>
              <a:gd name="T87" fmla="*/ 57 h 317"/>
              <a:gd name="T88" fmla="*/ 256 w 256"/>
              <a:gd name="T89" fmla="*/ 49 h 317"/>
              <a:gd name="T90" fmla="*/ 254 w 256"/>
              <a:gd name="T91" fmla="*/ 41 h 317"/>
              <a:gd name="T92" fmla="*/ 222 w 256"/>
              <a:gd name="T93" fmla="*/ 40 h 317"/>
              <a:gd name="T94" fmla="*/ 227 w 256"/>
              <a:gd name="T95" fmla="*/ 28 h 317"/>
              <a:gd name="T96" fmla="*/ 235 w 256"/>
              <a:gd name="T97" fmla="*/ 20 h 317"/>
              <a:gd name="T98" fmla="*/ 233 w 256"/>
              <a:gd name="T99" fmla="*/ 9 h 317"/>
              <a:gd name="T100" fmla="*/ 226 w 256"/>
              <a:gd name="T101" fmla="*/ 0 h 317"/>
              <a:gd name="T102" fmla="*/ 51 w 256"/>
              <a:gd name="T103" fmla="*/ 13 h 317"/>
              <a:gd name="T104" fmla="*/ 0 w 256"/>
              <a:gd name="T105" fmla="*/ 15 h 3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</a:cxnLst>
            <a:rect l="0" t="0" r="r" b="b"/>
            <a:pathLst>
              <a:path w="256" h="317">
                <a:moveTo>
                  <a:pt x="0" y="15"/>
                </a:moveTo>
                <a:lnTo>
                  <a:pt x="9" y="88"/>
                </a:lnTo>
                <a:lnTo>
                  <a:pt x="11" y="112"/>
                </a:lnTo>
                <a:lnTo>
                  <a:pt x="12" y="262"/>
                </a:lnTo>
                <a:lnTo>
                  <a:pt x="13" y="264"/>
                </a:lnTo>
                <a:lnTo>
                  <a:pt x="14" y="266"/>
                </a:lnTo>
                <a:lnTo>
                  <a:pt x="18" y="270"/>
                </a:lnTo>
                <a:lnTo>
                  <a:pt x="22" y="266"/>
                </a:lnTo>
                <a:lnTo>
                  <a:pt x="35" y="269"/>
                </a:lnTo>
                <a:lnTo>
                  <a:pt x="37" y="317"/>
                </a:lnTo>
                <a:lnTo>
                  <a:pt x="103" y="313"/>
                </a:lnTo>
                <a:lnTo>
                  <a:pt x="191" y="306"/>
                </a:lnTo>
                <a:lnTo>
                  <a:pt x="191" y="300"/>
                </a:lnTo>
                <a:lnTo>
                  <a:pt x="190" y="294"/>
                </a:lnTo>
                <a:lnTo>
                  <a:pt x="194" y="294"/>
                </a:lnTo>
                <a:lnTo>
                  <a:pt x="195" y="293"/>
                </a:lnTo>
                <a:lnTo>
                  <a:pt x="194" y="285"/>
                </a:lnTo>
                <a:lnTo>
                  <a:pt x="192" y="284"/>
                </a:lnTo>
                <a:lnTo>
                  <a:pt x="191" y="277"/>
                </a:lnTo>
                <a:lnTo>
                  <a:pt x="192" y="272"/>
                </a:lnTo>
                <a:lnTo>
                  <a:pt x="192" y="273"/>
                </a:lnTo>
                <a:lnTo>
                  <a:pt x="188" y="272"/>
                </a:lnTo>
                <a:lnTo>
                  <a:pt x="192" y="268"/>
                </a:lnTo>
                <a:lnTo>
                  <a:pt x="189" y="264"/>
                </a:lnTo>
                <a:lnTo>
                  <a:pt x="185" y="269"/>
                </a:lnTo>
                <a:lnTo>
                  <a:pt x="188" y="262"/>
                </a:lnTo>
                <a:lnTo>
                  <a:pt x="185" y="257"/>
                </a:lnTo>
                <a:lnTo>
                  <a:pt x="189" y="254"/>
                </a:lnTo>
                <a:lnTo>
                  <a:pt x="186" y="248"/>
                </a:lnTo>
                <a:lnTo>
                  <a:pt x="188" y="246"/>
                </a:lnTo>
                <a:lnTo>
                  <a:pt x="190" y="248"/>
                </a:lnTo>
                <a:lnTo>
                  <a:pt x="194" y="245"/>
                </a:lnTo>
                <a:lnTo>
                  <a:pt x="189" y="244"/>
                </a:lnTo>
                <a:lnTo>
                  <a:pt x="189" y="238"/>
                </a:lnTo>
                <a:lnTo>
                  <a:pt x="194" y="238"/>
                </a:lnTo>
                <a:lnTo>
                  <a:pt x="194" y="236"/>
                </a:lnTo>
                <a:lnTo>
                  <a:pt x="194" y="230"/>
                </a:lnTo>
                <a:lnTo>
                  <a:pt x="194" y="225"/>
                </a:lnTo>
                <a:lnTo>
                  <a:pt x="192" y="222"/>
                </a:lnTo>
                <a:lnTo>
                  <a:pt x="202" y="216"/>
                </a:lnTo>
                <a:lnTo>
                  <a:pt x="200" y="210"/>
                </a:lnTo>
                <a:lnTo>
                  <a:pt x="200" y="205"/>
                </a:lnTo>
                <a:lnTo>
                  <a:pt x="202" y="204"/>
                </a:lnTo>
                <a:lnTo>
                  <a:pt x="199" y="200"/>
                </a:lnTo>
                <a:lnTo>
                  <a:pt x="203" y="201"/>
                </a:lnTo>
                <a:lnTo>
                  <a:pt x="204" y="198"/>
                </a:lnTo>
                <a:lnTo>
                  <a:pt x="208" y="193"/>
                </a:lnTo>
                <a:lnTo>
                  <a:pt x="207" y="188"/>
                </a:lnTo>
                <a:lnTo>
                  <a:pt x="211" y="188"/>
                </a:lnTo>
                <a:lnTo>
                  <a:pt x="214" y="185"/>
                </a:lnTo>
                <a:lnTo>
                  <a:pt x="217" y="180"/>
                </a:lnTo>
                <a:lnTo>
                  <a:pt x="216" y="176"/>
                </a:lnTo>
                <a:lnTo>
                  <a:pt x="218" y="169"/>
                </a:lnTo>
                <a:lnTo>
                  <a:pt x="215" y="166"/>
                </a:lnTo>
                <a:lnTo>
                  <a:pt x="216" y="157"/>
                </a:lnTo>
                <a:lnTo>
                  <a:pt x="217" y="162"/>
                </a:lnTo>
                <a:lnTo>
                  <a:pt x="221" y="160"/>
                </a:lnTo>
                <a:lnTo>
                  <a:pt x="217" y="157"/>
                </a:lnTo>
                <a:lnTo>
                  <a:pt x="217" y="149"/>
                </a:lnTo>
                <a:lnTo>
                  <a:pt x="218" y="154"/>
                </a:lnTo>
                <a:lnTo>
                  <a:pt x="221" y="154"/>
                </a:lnTo>
                <a:lnTo>
                  <a:pt x="220" y="142"/>
                </a:lnTo>
                <a:lnTo>
                  <a:pt x="222" y="146"/>
                </a:lnTo>
                <a:lnTo>
                  <a:pt x="227" y="144"/>
                </a:lnTo>
                <a:lnTo>
                  <a:pt x="231" y="138"/>
                </a:lnTo>
                <a:lnTo>
                  <a:pt x="230" y="133"/>
                </a:lnTo>
                <a:lnTo>
                  <a:pt x="228" y="130"/>
                </a:lnTo>
                <a:lnTo>
                  <a:pt x="229" y="129"/>
                </a:lnTo>
                <a:lnTo>
                  <a:pt x="233" y="126"/>
                </a:lnTo>
                <a:lnTo>
                  <a:pt x="235" y="121"/>
                </a:lnTo>
                <a:lnTo>
                  <a:pt x="239" y="120"/>
                </a:lnTo>
                <a:lnTo>
                  <a:pt x="239" y="117"/>
                </a:lnTo>
                <a:lnTo>
                  <a:pt x="237" y="103"/>
                </a:lnTo>
                <a:lnTo>
                  <a:pt x="238" y="96"/>
                </a:lnTo>
                <a:lnTo>
                  <a:pt x="234" y="97"/>
                </a:lnTo>
                <a:lnTo>
                  <a:pt x="235" y="92"/>
                </a:lnTo>
                <a:lnTo>
                  <a:pt x="239" y="89"/>
                </a:lnTo>
                <a:lnTo>
                  <a:pt x="240" y="93"/>
                </a:lnTo>
                <a:lnTo>
                  <a:pt x="242" y="89"/>
                </a:lnTo>
                <a:lnTo>
                  <a:pt x="239" y="84"/>
                </a:lnTo>
                <a:lnTo>
                  <a:pt x="242" y="81"/>
                </a:lnTo>
                <a:lnTo>
                  <a:pt x="244" y="77"/>
                </a:lnTo>
                <a:lnTo>
                  <a:pt x="247" y="75"/>
                </a:lnTo>
                <a:lnTo>
                  <a:pt x="244" y="69"/>
                </a:lnTo>
                <a:lnTo>
                  <a:pt x="244" y="68"/>
                </a:lnTo>
                <a:lnTo>
                  <a:pt x="246" y="65"/>
                </a:lnTo>
                <a:lnTo>
                  <a:pt x="250" y="63"/>
                </a:lnTo>
                <a:lnTo>
                  <a:pt x="254" y="57"/>
                </a:lnTo>
                <a:lnTo>
                  <a:pt x="252" y="52"/>
                </a:lnTo>
                <a:lnTo>
                  <a:pt x="256" y="49"/>
                </a:lnTo>
                <a:lnTo>
                  <a:pt x="255" y="44"/>
                </a:lnTo>
                <a:lnTo>
                  <a:pt x="254" y="41"/>
                </a:lnTo>
                <a:lnTo>
                  <a:pt x="224" y="45"/>
                </a:lnTo>
                <a:lnTo>
                  <a:pt x="222" y="40"/>
                </a:lnTo>
                <a:lnTo>
                  <a:pt x="224" y="35"/>
                </a:lnTo>
                <a:lnTo>
                  <a:pt x="227" y="28"/>
                </a:lnTo>
                <a:lnTo>
                  <a:pt x="231" y="25"/>
                </a:lnTo>
                <a:lnTo>
                  <a:pt x="235" y="20"/>
                </a:lnTo>
                <a:lnTo>
                  <a:pt x="235" y="15"/>
                </a:lnTo>
                <a:lnTo>
                  <a:pt x="233" y="9"/>
                </a:lnTo>
                <a:lnTo>
                  <a:pt x="230" y="4"/>
                </a:lnTo>
                <a:lnTo>
                  <a:pt x="226" y="0"/>
                </a:lnTo>
                <a:lnTo>
                  <a:pt x="133" y="8"/>
                </a:lnTo>
                <a:lnTo>
                  <a:pt x="51" y="13"/>
                </a:lnTo>
                <a:lnTo>
                  <a:pt x="0" y="15"/>
                </a:lnTo>
                <a:lnTo>
                  <a:pt x="0" y="15"/>
                </a:lnTo>
                <a:lnTo>
                  <a:pt x="0" y="15"/>
                </a:lnTo>
                <a:close/>
              </a:path>
            </a:pathLst>
          </a:custGeom>
          <a:solidFill>
            <a:srgbClr val="E75936">
              <a:alpha val="40016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1FC39EAD-F4D4-42D2-B248-9AD249B3F49E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2">
        <xdr:nvSpPr>
          <xdr:cNvPr id="476" name="AL">
            <a:extLst>
              <a:ext uri="{FF2B5EF4-FFF2-40B4-BE49-F238E27FC236}">
                <a16:creationId xmlns:a16="http://schemas.microsoft.com/office/drawing/2014/main" id="{00000000-0008-0000-0100-0000DC010000}"/>
              </a:ext>
            </a:extLst>
          </xdr:cNvPr>
          <xdr:cNvSpPr>
            <a:spLocks/>
          </xdr:cNvSpPr>
        </xdr:nvSpPr>
        <xdr:spPr bwMode="auto">
          <a:xfrm>
            <a:off x="4138283" y="3249292"/>
            <a:ext cx="290793" cy="508747"/>
          </a:xfrm>
          <a:custGeom>
            <a:avLst/>
            <a:gdLst>
              <a:gd name="T0" fmla="*/ 16 w 183"/>
              <a:gd name="T1" fmla="*/ 196 h 424"/>
              <a:gd name="T2" fmla="*/ 24 w 183"/>
              <a:gd name="T3" fmla="*/ 199 h 424"/>
              <a:gd name="T4" fmla="*/ 26 w 183"/>
              <a:gd name="T5" fmla="*/ 214 h 424"/>
              <a:gd name="T6" fmla="*/ 29 w 183"/>
              <a:gd name="T7" fmla="*/ 222 h 424"/>
              <a:gd name="T8" fmla="*/ 25 w 183"/>
              <a:gd name="T9" fmla="*/ 231 h 424"/>
              <a:gd name="T10" fmla="*/ 30 w 183"/>
              <a:gd name="T11" fmla="*/ 240 h 424"/>
              <a:gd name="T12" fmla="*/ 36 w 183"/>
              <a:gd name="T13" fmla="*/ 247 h 424"/>
              <a:gd name="T14" fmla="*/ 30 w 183"/>
              <a:gd name="T15" fmla="*/ 254 h 424"/>
              <a:gd name="T16" fmla="*/ 27 w 183"/>
              <a:gd name="T17" fmla="*/ 263 h 424"/>
              <a:gd name="T18" fmla="*/ 28 w 183"/>
              <a:gd name="T19" fmla="*/ 270 h 424"/>
              <a:gd name="T20" fmla="*/ 28 w 183"/>
              <a:gd name="T21" fmla="*/ 274 h 424"/>
              <a:gd name="T22" fmla="*/ 13 w 183"/>
              <a:gd name="T23" fmla="*/ 295 h 424"/>
              <a:gd name="T24" fmla="*/ 11 w 183"/>
              <a:gd name="T25" fmla="*/ 308 h 424"/>
              <a:gd name="T26" fmla="*/ 10 w 183"/>
              <a:gd name="T27" fmla="*/ 315 h 424"/>
              <a:gd name="T28" fmla="*/ 3 w 183"/>
              <a:gd name="T29" fmla="*/ 331 h 424"/>
              <a:gd name="T30" fmla="*/ 0 w 183"/>
              <a:gd name="T31" fmla="*/ 342 h 424"/>
              <a:gd name="T32" fmla="*/ 4 w 183"/>
              <a:gd name="T33" fmla="*/ 359 h 424"/>
              <a:gd name="T34" fmla="*/ 106 w 183"/>
              <a:gd name="T35" fmla="*/ 355 h 424"/>
              <a:gd name="T36" fmla="*/ 103 w 183"/>
              <a:gd name="T37" fmla="*/ 374 h 424"/>
              <a:gd name="T38" fmla="*/ 106 w 183"/>
              <a:gd name="T39" fmla="*/ 394 h 424"/>
              <a:gd name="T40" fmla="*/ 115 w 183"/>
              <a:gd name="T41" fmla="*/ 412 h 424"/>
              <a:gd name="T42" fmla="*/ 120 w 183"/>
              <a:gd name="T43" fmla="*/ 423 h 424"/>
              <a:gd name="T44" fmla="*/ 128 w 183"/>
              <a:gd name="T45" fmla="*/ 419 h 424"/>
              <a:gd name="T46" fmla="*/ 132 w 183"/>
              <a:gd name="T47" fmla="*/ 411 h 424"/>
              <a:gd name="T48" fmla="*/ 139 w 183"/>
              <a:gd name="T49" fmla="*/ 410 h 424"/>
              <a:gd name="T50" fmla="*/ 158 w 183"/>
              <a:gd name="T51" fmla="*/ 402 h 424"/>
              <a:gd name="T52" fmla="*/ 163 w 183"/>
              <a:gd name="T53" fmla="*/ 404 h 424"/>
              <a:gd name="T54" fmla="*/ 172 w 183"/>
              <a:gd name="T55" fmla="*/ 402 h 424"/>
              <a:gd name="T56" fmla="*/ 183 w 183"/>
              <a:gd name="T57" fmla="*/ 398 h 424"/>
              <a:gd name="T58" fmla="*/ 169 w 183"/>
              <a:gd name="T59" fmla="*/ 4 h 424"/>
              <a:gd name="T60" fmla="*/ 128 w 183"/>
              <a:gd name="T61" fmla="*/ 6 h 424"/>
              <a:gd name="T62" fmla="*/ 59 w 183"/>
              <a:gd name="T63" fmla="*/ 20 h 424"/>
              <a:gd name="T64" fmla="*/ 48 w 183"/>
              <a:gd name="T65" fmla="*/ 24 h 424"/>
              <a:gd name="T66" fmla="*/ 45 w 183"/>
              <a:gd name="T67" fmla="*/ 31 h 424"/>
              <a:gd name="T68" fmla="*/ 45 w 183"/>
              <a:gd name="T69" fmla="*/ 44 h 424"/>
              <a:gd name="T70" fmla="*/ 46 w 183"/>
              <a:gd name="T71" fmla="*/ 51 h 424"/>
              <a:gd name="T72" fmla="*/ 42 w 183"/>
              <a:gd name="T73" fmla="*/ 67 h 424"/>
              <a:gd name="T74" fmla="*/ 36 w 183"/>
              <a:gd name="T75" fmla="*/ 75 h 424"/>
              <a:gd name="T76" fmla="*/ 27 w 183"/>
              <a:gd name="T77" fmla="*/ 82 h 424"/>
              <a:gd name="T78" fmla="*/ 28 w 183"/>
              <a:gd name="T79" fmla="*/ 92 h 424"/>
              <a:gd name="T80" fmla="*/ 22 w 183"/>
              <a:gd name="T81" fmla="*/ 107 h 424"/>
              <a:gd name="T82" fmla="*/ 22 w 183"/>
              <a:gd name="T83" fmla="*/ 120 h 424"/>
              <a:gd name="T84" fmla="*/ 22 w 183"/>
              <a:gd name="T85" fmla="*/ 127 h 424"/>
              <a:gd name="T86" fmla="*/ 14 w 183"/>
              <a:gd name="T87" fmla="*/ 130 h 424"/>
              <a:gd name="T88" fmla="*/ 16 w 183"/>
              <a:gd name="T89" fmla="*/ 144 h 424"/>
              <a:gd name="T90" fmla="*/ 20 w 183"/>
              <a:gd name="T91" fmla="*/ 150 h 424"/>
              <a:gd name="T92" fmla="*/ 20 w 183"/>
              <a:gd name="T93" fmla="*/ 154 h 424"/>
              <a:gd name="T94" fmla="*/ 22 w 183"/>
              <a:gd name="T95" fmla="*/ 167 h 424"/>
              <a:gd name="T96" fmla="*/ 18 w 183"/>
              <a:gd name="T97" fmla="*/ 176 h 424"/>
              <a:gd name="T98" fmla="*/ 19 w 183"/>
              <a:gd name="T99" fmla="*/ 188 h 4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</a:cxnLst>
            <a:rect l="0" t="0" r="r" b="b"/>
            <a:pathLst>
              <a:path w="183" h="424">
                <a:moveTo>
                  <a:pt x="19" y="188"/>
                </a:moveTo>
                <a:lnTo>
                  <a:pt x="17" y="191"/>
                </a:lnTo>
                <a:lnTo>
                  <a:pt x="16" y="196"/>
                </a:lnTo>
                <a:lnTo>
                  <a:pt x="20" y="194"/>
                </a:lnTo>
                <a:lnTo>
                  <a:pt x="24" y="194"/>
                </a:lnTo>
                <a:lnTo>
                  <a:pt x="24" y="199"/>
                </a:lnTo>
                <a:lnTo>
                  <a:pt x="20" y="204"/>
                </a:lnTo>
                <a:lnTo>
                  <a:pt x="21" y="210"/>
                </a:lnTo>
                <a:lnTo>
                  <a:pt x="26" y="214"/>
                </a:lnTo>
                <a:lnTo>
                  <a:pt x="21" y="220"/>
                </a:lnTo>
                <a:lnTo>
                  <a:pt x="22" y="224"/>
                </a:lnTo>
                <a:lnTo>
                  <a:pt x="29" y="222"/>
                </a:lnTo>
                <a:lnTo>
                  <a:pt x="26" y="227"/>
                </a:lnTo>
                <a:lnTo>
                  <a:pt x="29" y="232"/>
                </a:lnTo>
                <a:lnTo>
                  <a:pt x="25" y="231"/>
                </a:lnTo>
                <a:lnTo>
                  <a:pt x="24" y="232"/>
                </a:lnTo>
                <a:lnTo>
                  <a:pt x="26" y="238"/>
                </a:lnTo>
                <a:lnTo>
                  <a:pt x="30" y="240"/>
                </a:lnTo>
                <a:lnTo>
                  <a:pt x="32" y="244"/>
                </a:lnTo>
                <a:lnTo>
                  <a:pt x="36" y="246"/>
                </a:lnTo>
                <a:lnTo>
                  <a:pt x="36" y="247"/>
                </a:lnTo>
                <a:lnTo>
                  <a:pt x="36" y="248"/>
                </a:lnTo>
                <a:lnTo>
                  <a:pt x="33" y="248"/>
                </a:lnTo>
                <a:lnTo>
                  <a:pt x="30" y="254"/>
                </a:lnTo>
                <a:lnTo>
                  <a:pt x="25" y="256"/>
                </a:lnTo>
                <a:lnTo>
                  <a:pt x="23" y="262"/>
                </a:lnTo>
                <a:lnTo>
                  <a:pt x="27" y="263"/>
                </a:lnTo>
                <a:lnTo>
                  <a:pt x="31" y="262"/>
                </a:lnTo>
                <a:lnTo>
                  <a:pt x="28" y="268"/>
                </a:lnTo>
                <a:lnTo>
                  <a:pt x="28" y="270"/>
                </a:lnTo>
                <a:lnTo>
                  <a:pt x="24" y="271"/>
                </a:lnTo>
                <a:lnTo>
                  <a:pt x="28" y="272"/>
                </a:lnTo>
                <a:lnTo>
                  <a:pt x="28" y="274"/>
                </a:lnTo>
                <a:lnTo>
                  <a:pt x="18" y="288"/>
                </a:lnTo>
                <a:lnTo>
                  <a:pt x="15" y="290"/>
                </a:lnTo>
                <a:lnTo>
                  <a:pt x="13" y="295"/>
                </a:lnTo>
                <a:lnTo>
                  <a:pt x="16" y="298"/>
                </a:lnTo>
                <a:lnTo>
                  <a:pt x="12" y="303"/>
                </a:lnTo>
                <a:lnTo>
                  <a:pt x="11" y="308"/>
                </a:lnTo>
                <a:lnTo>
                  <a:pt x="7" y="312"/>
                </a:lnTo>
                <a:lnTo>
                  <a:pt x="11" y="312"/>
                </a:lnTo>
                <a:lnTo>
                  <a:pt x="10" y="315"/>
                </a:lnTo>
                <a:lnTo>
                  <a:pt x="6" y="319"/>
                </a:lnTo>
                <a:lnTo>
                  <a:pt x="8" y="330"/>
                </a:lnTo>
                <a:lnTo>
                  <a:pt x="3" y="331"/>
                </a:lnTo>
                <a:lnTo>
                  <a:pt x="7" y="336"/>
                </a:lnTo>
                <a:lnTo>
                  <a:pt x="6" y="340"/>
                </a:lnTo>
                <a:lnTo>
                  <a:pt x="0" y="342"/>
                </a:lnTo>
                <a:lnTo>
                  <a:pt x="2" y="348"/>
                </a:lnTo>
                <a:lnTo>
                  <a:pt x="2" y="354"/>
                </a:lnTo>
                <a:lnTo>
                  <a:pt x="4" y="359"/>
                </a:lnTo>
                <a:lnTo>
                  <a:pt x="0" y="364"/>
                </a:lnTo>
                <a:lnTo>
                  <a:pt x="55" y="360"/>
                </a:lnTo>
                <a:lnTo>
                  <a:pt x="106" y="355"/>
                </a:lnTo>
                <a:lnTo>
                  <a:pt x="107" y="356"/>
                </a:lnTo>
                <a:lnTo>
                  <a:pt x="106" y="362"/>
                </a:lnTo>
                <a:lnTo>
                  <a:pt x="103" y="374"/>
                </a:lnTo>
                <a:lnTo>
                  <a:pt x="102" y="383"/>
                </a:lnTo>
                <a:lnTo>
                  <a:pt x="103" y="388"/>
                </a:lnTo>
                <a:lnTo>
                  <a:pt x="106" y="394"/>
                </a:lnTo>
                <a:lnTo>
                  <a:pt x="112" y="400"/>
                </a:lnTo>
                <a:lnTo>
                  <a:pt x="113" y="407"/>
                </a:lnTo>
                <a:lnTo>
                  <a:pt x="115" y="412"/>
                </a:lnTo>
                <a:lnTo>
                  <a:pt x="115" y="415"/>
                </a:lnTo>
                <a:lnTo>
                  <a:pt x="117" y="420"/>
                </a:lnTo>
                <a:lnTo>
                  <a:pt x="120" y="423"/>
                </a:lnTo>
                <a:lnTo>
                  <a:pt x="122" y="424"/>
                </a:lnTo>
                <a:lnTo>
                  <a:pt x="126" y="424"/>
                </a:lnTo>
                <a:lnTo>
                  <a:pt x="128" y="419"/>
                </a:lnTo>
                <a:lnTo>
                  <a:pt x="132" y="414"/>
                </a:lnTo>
                <a:lnTo>
                  <a:pt x="133" y="411"/>
                </a:lnTo>
                <a:lnTo>
                  <a:pt x="132" y="411"/>
                </a:lnTo>
                <a:lnTo>
                  <a:pt x="136" y="410"/>
                </a:lnTo>
                <a:lnTo>
                  <a:pt x="135" y="411"/>
                </a:lnTo>
                <a:lnTo>
                  <a:pt x="139" y="410"/>
                </a:lnTo>
                <a:lnTo>
                  <a:pt x="148" y="406"/>
                </a:lnTo>
                <a:lnTo>
                  <a:pt x="156" y="403"/>
                </a:lnTo>
                <a:lnTo>
                  <a:pt x="158" y="402"/>
                </a:lnTo>
                <a:lnTo>
                  <a:pt x="152" y="400"/>
                </a:lnTo>
                <a:lnTo>
                  <a:pt x="159" y="400"/>
                </a:lnTo>
                <a:lnTo>
                  <a:pt x="163" y="404"/>
                </a:lnTo>
                <a:lnTo>
                  <a:pt x="167" y="406"/>
                </a:lnTo>
                <a:lnTo>
                  <a:pt x="171" y="403"/>
                </a:lnTo>
                <a:lnTo>
                  <a:pt x="172" y="402"/>
                </a:lnTo>
                <a:lnTo>
                  <a:pt x="181" y="406"/>
                </a:lnTo>
                <a:lnTo>
                  <a:pt x="183" y="400"/>
                </a:lnTo>
                <a:lnTo>
                  <a:pt x="183" y="398"/>
                </a:lnTo>
                <a:lnTo>
                  <a:pt x="170" y="270"/>
                </a:lnTo>
                <a:lnTo>
                  <a:pt x="173" y="8"/>
                </a:lnTo>
                <a:lnTo>
                  <a:pt x="169" y="4"/>
                </a:lnTo>
                <a:lnTo>
                  <a:pt x="167" y="2"/>
                </a:lnTo>
                <a:lnTo>
                  <a:pt x="167" y="0"/>
                </a:lnTo>
                <a:lnTo>
                  <a:pt x="128" y="6"/>
                </a:lnTo>
                <a:lnTo>
                  <a:pt x="56" y="12"/>
                </a:lnTo>
                <a:lnTo>
                  <a:pt x="58" y="15"/>
                </a:lnTo>
                <a:lnTo>
                  <a:pt x="59" y="20"/>
                </a:lnTo>
                <a:lnTo>
                  <a:pt x="55" y="26"/>
                </a:lnTo>
                <a:lnTo>
                  <a:pt x="50" y="28"/>
                </a:lnTo>
                <a:lnTo>
                  <a:pt x="48" y="24"/>
                </a:lnTo>
                <a:lnTo>
                  <a:pt x="49" y="36"/>
                </a:lnTo>
                <a:lnTo>
                  <a:pt x="46" y="36"/>
                </a:lnTo>
                <a:lnTo>
                  <a:pt x="45" y="31"/>
                </a:lnTo>
                <a:lnTo>
                  <a:pt x="45" y="39"/>
                </a:lnTo>
                <a:lnTo>
                  <a:pt x="49" y="42"/>
                </a:lnTo>
                <a:lnTo>
                  <a:pt x="45" y="44"/>
                </a:lnTo>
                <a:lnTo>
                  <a:pt x="44" y="39"/>
                </a:lnTo>
                <a:lnTo>
                  <a:pt x="43" y="48"/>
                </a:lnTo>
                <a:lnTo>
                  <a:pt x="46" y="51"/>
                </a:lnTo>
                <a:lnTo>
                  <a:pt x="44" y="58"/>
                </a:lnTo>
                <a:lnTo>
                  <a:pt x="45" y="62"/>
                </a:lnTo>
                <a:lnTo>
                  <a:pt x="42" y="67"/>
                </a:lnTo>
                <a:lnTo>
                  <a:pt x="39" y="70"/>
                </a:lnTo>
                <a:lnTo>
                  <a:pt x="35" y="70"/>
                </a:lnTo>
                <a:lnTo>
                  <a:pt x="36" y="75"/>
                </a:lnTo>
                <a:lnTo>
                  <a:pt x="32" y="80"/>
                </a:lnTo>
                <a:lnTo>
                  <a:pt x="31" y="83"/>
                </a:lnTo>
                <a:lnTo>
                  <a:pt x="27" y="82"/>
                </a:lnTo>
                <a:lnTo>
                  <a:pt x="30" y="86"/>
                </a:lnTo>
                <a:lnTo>
                  <a:pt x="28" y="87"/>
                </a:lnTo>
                <a:lnTo>
                  <a:pt x="28" y="92"/>
                </a:lnTo>
                <a:lnTo>
                  <a:pt x="30" y="98"/>
                </a:lnTo>
                <a:lnTo>
                  <a:pt x="20" y="104"/>
                </a:lnTo>
                <a:lnTo>
                  <a:pt x="22" y="107"/>
                </a:lnTo>
                <a:lnTo>
                  <a:pt x="22" y="112"/>
                </a:lnTo>
                <a:lnTo>
                  <a:pt x="22" y="118"/>
                </a:lnTo>
                <a:lnTo>
                  <a:pt x="22" y="120"/>
                </a:lnTo>
                <a:lnTo>
                  <a:pt x="17" y="120"/>
                </a:lnTo>
                <a:lnTo>
                  <a:pt x="17" y="126"/>
                </a:lnTo>
                <a:lnTo>
                  <a:pt x="22" y="127"/>
                </a:lnTo>
                <a:lnTo>
                  <a:pt x="18" y="130"/>
                </a:lnTo>
                <a:lnTo>
                  <a:pt x="16" y="128"/>
                </a:lnTo>
                <a:lnTo>
                  <a:pt x="14" y="130"/>
                </a:lnTo>
                <a:lnTo>
                  <a:pt x="17" y="136"/>
                </a:lnTo>
                <a:lnTo>
                  <a:pt x="13" y="139"/>
                </a:lnTo>
                <a:lnTo>
                  <a:pt x="16" y="144"/>
                </a:lnTo>
                <a:lnTo>
                  <a:pt x="13" y="151"/>
                </a:lnTo>
                <a:lnTo>
                  <a:pt x="17" y="146"/>
                </a:lnTo>
                <a:lnTo>
                  <a:pt x="20" y="150"/>
                </a:lnTo>
                <a:lnTo>
                  <a:pt x="16" y="154"/>
                </a:lnTo>
                <a:lnTo>
                  <a:pt x="20" y="155"/>
                </a:lnTo>
                <a:lnTo>
                  <a:pt x="20" y="154"/>
                </a:lnTo>
                <a:lnTo>
                  <a:pt x="19" y="159"/>
                </a:lnTo>
                <a:lnTo>
                  <a:pt x="20" y="166"/>
                </a:lnTo>
                <a:lnTo>
                  <a:pt x="22" y="167"/>
                </a:lnTo>
                <a:lnTo>
                  <a:pt x="23" y="175"/>
                </a:lnTo>
                <a:lnTo>
                  <a:pt x="22" y="176"/>
                </a:lnTo>
                <a:lnTo>
                  <a:pt x="18" y="176"/>
                </a:lnTo>
                <a:lnTo>
                  <a:pt x="19" y="182"/>
                </a:lnTo>
                <a:lnTo>
                  <a:pt x="19" y="188"/>
                </a:lnTo>
                <a:lnTo>
                  <a:pt x="19" y="188"/>
                </a:lnTo>
                <a:lnTo>
                  <a:pt x="19" y="188"/>
                </a:lnTo>
                <a:close/>
              </a:path>
            </a:pathLst>
          </a:custGeom>
          <a:solidFill>
            <a:srgbClr val="E75936">
              <a:alpha val="44763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E5DD83C4-29BF-4EB6-9E9B-DCF7626F4A27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26">
        <xdr:nvSpPr>
          <xdr:cNvPr id="481" name="MS">
            <a:extLst>
              <a:ext uri="{FF2B5EF4-FFF2-40B4-BE49-F238E27FC236}">
                <a16:creationId xmlns:a16="http://schemas.microsoft.com/office/drawing/2014/main" id="{00000000-0008-0000-0100-0000E1010000}"/>
              </a:ext>
            </a:extLst>
          </xdr:cNvPr>
          <xdr:cNvSpPr>
            <a:spLocks/>
          </xdr:cNvSpPr>
        </xdr:nvSpPr>
        <xdr:spPr bwMode="auto">
          <a:xfrm>
            <a:off x="4400501" y="3220717"/>
            <a:ext cx="334203" cy="518272"/>
          </a:xfrm>
          <a:custGeom>
            <a:avLst/>
            <a:gdLst>
              <a:gd name="T0" fmla="*/ 2 w 199"/>
              <a:gd name="T1" fmla="*/ 22 h 429"/>
              <a:gd name="T2" fmla="*/ 3 w 199"/>
              <a:gd name="T3" fmla="*/ 288 h 429"/>
              <a:gd name="T4" fmla="*/ 16 w 199"/>
              <a:gd name="T5" fmla="*/ 418 h 429"/>
              <a:gd name="T6" fmla="*/ 28 w 199"/>
              <a:gd name="T7" fmla="*/ 418 h 429"/>
              <a:gd name="T8" fmla="*/ 33 w 199"/>
              <a:gd name="T9" fmla="*/ 400 h 429"/>
              <a:gd name="T10" fmla="*/ 35 w 199"/>
              <a:gd name="T11" fmla="*/ 389 h 429"/>
              <a:gd name="T12" fmla="*/ 37 w 199"/>
              <a:gd name="T13" fmla="*/ 390 h 429"/>
              <a:gd name="T14" fmla="*/ 42 w 199"/>
              <a:gd name="T15" fmla="*/ 396 h 429"/>
              <a:gd name="T16" fmla="*/ 41 w 199"/>
              <a:gd name="T17" fmla="*/ 406 h 429"/>
              <a:gd name="T18" fmla="*/ 47 w 199"/>
              <a:gd name="T19" fmla="*/ 416 h 429"/>
              <a:gd name="T20" fmla="*/ 51 w 199"/>
              <a:gd name="T21" fmla="*/ 420 h 429"/>
              <a:gd name="T22" fmla="*/ 46 w 199"/>
              <a:gd name="T23" fmla="*/ 428 h 429"/>
              <a:gd name="T24" fmla="*/ 39 w 199"/>
              <a:gd name="T25" fmla="*/ 429 h 429"/>
              <a:gd name="T26" fmla="*/ 60 w 199"/>
              <a:gd name="T27" fmla="*/ 424 h 429"/>
              <a:gd name="T28" fmla="*/ 60 w 199"/>
              <a:gd name="T29" fmla="*/ 417 h 429"/>
              <a:gd name="T30" fmla="*/ 69 w 199"/>
              <a:gd name="T31" fmla="*/ 413 h 429"/>
              <a:gd name="T32" fmla="*/ 69 w 199"/>
              <a:gd name="T33" fmla="*/ 400 h 429"/>
              <a:gd name="T34" fmla="*/ 70 w 199"/>
              <a:gd name="T35" fmla="*/ 389 h 429"/>
              <a:gd name="T36" fmla="*/ 62 w 199"/>
              <a:gd name="T37" fmla="*/ 382 h 429"/>
              <a:gd name="T38" fmla="*/ 57 w 199"/>
              <a:gd name="T39" fmla="*/ 364 h 429"/>
              <a:gd name="T40" fmla="*/ 112 w 199"/>
              <a:gd name="T41" fmla="*/ 353 h 429"/>
              <a:gd name="T42" fmla="*/ 199 w 199"/>
              <a:gd name="T43" fmla="*/ 336 h 429"/>
              <a:gd name="T44" fmla="*/ 192 w 199"/>
              <a:gd name="T45" fmla="*/ 322 h 429"/>
              <a:gd name="T46" fmla="*/ 192 w 199"/>
              <a:gd name="T47" fmla="*/ 304 h 429"/>
              <a:gd name="T48" fmla="*/ 193 w 199"/>
              <a:gd name="T49" fmla="*/ 293 h 429"/>
              <a:gd name="T50" fmla="*/ 188 w 199"/>
              <a:gd name="T51" fmla="*/ 280 h 429"/>
              <a:gd name="T52" fmla="*/ 186 w 199"/>
              <a:gd name="T53" fmla="*/ 258 h 429"/>
              <a:gd name="T54" fmla="*/ 187 w 199"/>
              <a:gd name="T55" fmla="*/ 242 h 429"/>
              <a:gd name="T56" fmla="*/ 194 w 199"/>
              <a:gd name="T57" fmla="*/ 232 h 429"/>
              <a:gd name="T58" fmla="*/ 189 w 199"/>
              <a:gd name="T59" fmla="*/ 225 h 429"/>
              <a:gd name="T60" fmla="*/ 188 w 199"/>
              <a:gd name="T61" fmla="*/ 209 h 429"/>
              <a:gd name="T62" fmla="*/ 182 w 199"/>
              <a:gd name="T63" fmla="*/ 201 h 429"/>
              <a:gd name="T64" fmla="*/ 176 w 199"/>
              <a:gd name="T65" fmla="*/ 185 h 429"/>
              <a:gd name="T66" fmla="*/ 173 w 199"/>
              <a:gd name="T67" fmla="*/ 176 h 429"/>
              <a:gd name="T68" fmla="*/ 134 w 199"/>
              <a:gd name="T69" fmla="*/ 0 h 429"/>
              <a:gd name="T70" fmla="*/ 0 w 199"/>
              <a:gd name="T71" fmla="*/ 17 h 429"/>
              <a:gd name="T72" fmla="*/ 0 w 199"/>
              <a:gd name="T73" fmla="*/ 20 h 4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</a:cxnLst>
            <a:rect l="0" t="0" r="r" b="b"/>
            <a:pathLst>
              <a:path w="199" h="429">
                <a:moveTo>
                  <a:pt x="0" y="20"/>
                </a:moveTo>
                <a:lnTo>
                  <a:pt x="2" y="22"/>
                </a:lnTo>
                <a:lnTo>
                  <a:pt x="6" y="26"/>
                </a:lnTo>
                <a:lnTo>
                  <a:pt x="3" y="288"/>
                </a:lnTo>
                <a:lnTo>
                  <a:pt x="16" y="416"/>
                </a:lnTo>
                <a:lnTo>
                  <a:pt x="16" y="418"/>
                </a:lnTo>
                <a:lnTo>
                  <a:pt x="20" y="417"/>
                </a:lnTo>
                <a:lnTo>
                  <a:pt x="28" y="418"/>
                </a:lnTo>
                <a:lnTo>
                  <a:pt x="32" y="418"/>
                </a:lnTo>
                <a:lnTo>
                  <a:pt x="33" y="400"/>
                </a:lnTo>
                <a:lnTo>
                  <a:pt x="34" y="393"/>
                </a:lnTo>
                <a:lnTo>
                  <a:pt x="35" y="389"/>
                </a:lnTo>
                <a:lnTo>
                  <a:pt x="35" y="386"/>
                </a:lnTo>
                <a:lnTo>
                  <a:pt x="37" y="390"/>
                </a:lnTo>
                <a:lnTo>
                  <a:pt x="39" y="390"/>
                </a:lnTo>
                <a:lnTo>
                  <a:pt x="42" y="396"/>
                </a:lnTo>
                <a:lnTo>
                  <a:pt x="42" y="401"/>
                </a:lnTo>
                <a:lnTo>
                  <a:pt x="41" y="406"/>
                </a:lnTo>
                <a:lnTo>
                  <a:pt x="43" y="412"/>
                </a:lnTo>
                <a:lnTo>
                  <a:pt x="47" y="416"/>
                </a:lnTo>
                <a:lnTo>
                  <a:pt x="48" y="414"/>
                </a:lnTo>
                <a:lnTo>
                  <a:pt x="51" y="420"/>
                </a:lnTo>
                <a:lnTo>
                  <a:pt x="50" y="425"/>
                </a:lnTo>
                <a:lnTo>
                  <a:pt x="46" y="428"/>
                </a:lnTo>
                <a:lnTo>
                  <a:pt x="42" y="426"/>
                </a:lnTo>
                <a:lnTo>
                  <a:pt x="39" y="429"/>
                </a:lnTo>
                <a:lnTo>
                  <a:pt x="55" y="426"/>
                </a:lnTo>
                <a:lnTo>
                  <a:pt x="60" y="424"/>
                </a:lnTo>
                <a:lnTo>
                  <a:pt x="61" y="418"/>
                </a:lnTo>
                <a:lnTo>
                  <a:pt x="60" y="417"/>
                </a:lnTo>
                <a:lnTo>
                  <a:pt x="65" y="418"/>
                </a:lnTo>
                <a:lnTo>
                  <a:pt x="69" y="413"/>
                </a:lnTo>
                <a:lnTo>
                  <a:pt x="70" y="402"/>
                </a:lnTo>
                <a:lnTo>
                  <a:pt x="69" y="400"/>
                </a:lnTo>
                <a:lnTo>
                  <a:pt x="68" y="397"/>
                </a:lnTo>
                <a:lnTo>
                  <a:pt x="70" y="389"/>
                </a:lnTo>
                <a:lnTo>
                  <a:pt x="66" y="385"/>
                </a:lnTo>
                <a:lnTo>
                  <a:pt x="62" y="382"/>
                </a:lnTo>
                <a:lnTo>
                  <a:pt x="56" y="370"/>
                </a:lnTo>
                <a:lnTo>
                  <a:pt x="57" y="364"/>
                </a:lnTo>
                <a:lnTo>
                  <a:pt x="61" y="360"/>
                </a:lnTo>
                <a:lnTo>
                  <a:pt x="112" y="353"/>
                </a:lnTo>
                <a:lnTo>
                  <a:pt x="199" y="338"/>
                </a:lnTo>
                <a:lnTo>
                  <a:pt x="199" y="336"/>
                </a:lnTo>
                <a:lnTo>
                  <a:pt x="195" y="328"/>
                </a:lnTo>
                <a:lnTo>
                  <a:pt x="192" y="322"/>
                </a:lnTo>
                <a:lnTo>
                  <a:pt x="191" y="316"/>
                </a:lnTo>
                <a:lnTo>
                  <a:pt x="192" y="304"/>
                </a:lnTo>
                <a:lnTo>
                  <a:pt x="192" y="298"/>
                </a:lnTo>
                <a:lnTo>
                  <a:pt x="193" y="293"/>
                </a:lnTo>
                <a:lnTo>
                  <a:pt x="191" y="285"/>
                </a:lnTo>
                <a:lnTo>
                  <a:pt x="188" y="280"/>
                </a:lnTo>
                <a:lnTo>
                  <a:pt x="185" y="269"/>
                </a:lnTo>
                <a:lnTo>
                  <a:pt x="186" y="258"/>
                </a:lnTo>
                <a:lnTo>
                  <a:pt x="188" y="253"/>
                </a:lnTo>
                <a:lnTo>
                  <a:pt x="187" y="242"/>
                </a:lnTo>
                <a:lnTo>
                  <a:pt x="190" y="237"/>
                </a:lnTo>
                <a:lnTo>
                  <a:pt x="194" y="232"/>
                </a:lnTo>
                <a:lnTo>
                  <a:pt x="193" y="228"/>
                </a:lnTo>
                <a:lnTo>
                  <a:pt x="189" y="225"/>
                </a:lnTo>
                <a:lnTo>
                  <a:pt x="190" y="216"/>
                </a:lnTo>
                <a:lnTo>
                  <a:pt x="188" y="209"/>
                </a:lnTo>
                <a:lnTo>
                  <a:pt x="187" y="208"/>
                </a:lnTo>
                <a:lnTo>
                  <a:pt x="182" y="201"/>
                </a:lnTo>
                <a:lnTo>
                  <a:pt x="179" y="190"/>
                </a:lnTo>
                <a:lnTo>
                  <a:pt x="176" y="185"/>
                </a:lnTo>
                <a:lnTo>
                  <a:pt x="175" y="178"/>
                </a:lnTo>
                <a:lnTo>
                  <a:pt x="173" y="176"/>
                </a:lnTo>
                <a:lnTo>
                  <a:pt x="154" y="82"/>
                </a:lnTo>
                <a:lnTo>
                  <a:pt x="134" y="0"/>
                </a:lnTo>
                <a:lnTo>
                  <a:pt x="76" y="9"/>
                </a:lnTo>
                <a:lnTo>
                  <a:pt x="0" y="17"/>
                </a:lnTo>
                <a:lnTo>
                  <a:pt x="0" y="20"/>
                </a:lnTo>
                <a:lnTo>
                  <a:pt x="0" y="20"/>
                </a:lnTo>
                <a:lnTo>
                  <a:pt x="0" y="20"/>
                </a:lnTo>
                <a:close/>
              </a:path>
            </a:pathLst>
          </a:custGeom>
          <a:solidFill>
            <a:srgbClr val="E75936">
              <a:alpha val="28766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FA876C53-CDC2-4941-989F-A8159F18C25D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35">
        <xdr:nvSpPr>
          <xdr:cNvPr id="489" name="NC">
            <a:extLst>
              <a:ext uri="{FF2B5EF4-FFF2-40B4-BE49-F238E27FC236}">
                <a16:creationId xmlns:a16="http://schemas.microsoft.com/office/drawing/2014/main" id="{00000000-0008-0000-0100-0000E9010000}"/>
              </a:ext>
            </a:extLst>
          </xdr:cNvPr>
          <xdr:cNvSpPr>
            <a:spLocks/>
          </xdr:cNvSpPr>
        </xdr:nvSpPr>
        <xdr:spPr bwMode="auto">
          <a:xfrm>
            <a:off x="4734704" y="2935527"/>
            <a:ext cx="705410" cy="313765"/>
          </a:xfrm>
          <a:custGeom>
            <a:avLst/>
            <a:gdLst>
              <a:gd name="T0" fmla="*/ 82 w 435"/>
              <a:gd name="T1" fmla="*/ 212 h 264"/>
              <a:gd name="T2" fmla="*/ 104 w 435"/>
              <a:gd name="T3" fmla="*/ 195 h 264"/>
              <a:gd name="T4" fmla="*/ 176 w 435"/>
              <a:gd name="T5" fmla="*/ 189 h 264"/>
              <a:gd name="T6" fmla="*/ 186 w 435"/>
              <a:gd name="T7" fmla="*/ 211 h 264"/>
              <a:gd name="T8" fmla="*/ 315 w 435"/>
              <a:gd name="T9" fmla="*/ 262 h 264"/>
              <a:gd name="T10" fmla="*/ 342 w 435"/>
              <a:gd name="T11" fmla="*/ 252 h 264"/>
              <a:gd name="T12" fmla="*/ 343 w 435"/>
              <a:gd name="T13" fmla="*/ 235 h 264"/>
              <a:gd name="T14" fmla="*/ 351 w 435"/>
              <a:gd name="T15" fmla="*/ 215 h 264"/>
              <a:gd name="T16" fmla="*/ 365 w 435"/>
              <a:gd name="T17" fmla="*/ 183 h 264"/>
              <a:gd name="T18" fmla="*/ 369 w 435"/>
              <a:gd name="T19" fmla="*/ 188 h 264"/>
              <a:gd name="T20" fmla="*/ 381 w 435"/>
              <a:gd name="T21" fmla="*/ 173 h 264"/>
              <a:gd name="T22" fmla="*/ 398 w 435"/>
              <a:gd name="T23" fmla="*/ 159 h 264"/>
              <a:gd name="T24" fmla="*/ 408 w 435"/>
              <a:gd name="T25" fmla="*/ 163 h 264"/>
              <a:gd name="T26" fmla="*/ 415 w 435"/>
              <a:gd name="T27" fmla="*/ 136 h 264"/>
              <a:gd name="T28" fmla="*/ 409 w 435"/>
              <a:gd name="T29" fmla="*/ 139 h 264"/>
              <a:gd name="T30" fmla="*/ 403 w 435"/>
              <a:gd name="T31" fmla="*/ 140 h 264"/>
              <a:gd name="T32" fmla="*/ 383 w 435"/>
              <a:gd name="T33" fmla="*/ 148 h 264"/>
              <a:gd name="T34" fmla="*/ 381 w 435"/>
              <a:gd name="T35" fmla="*/ 140 h 264"/>
              <a:gd name="T36" fmla="*/ 400 w 435"/>
              <a:gd name="T37" fmla="*/ 132 h 264"/>
              <a:gd name="T38" fmla="*/ 401 w 435"/>
              <a:gd name="T39" fmla="*/ 123 h 264"/>
              <a:gd name="T40" fmla="*/ 372 w 435"/>
              <a:gd name="T41" fmla="*/ 105 h 264"/>
              <a:gd name="T42" fmla="*/ 388 w 435"/>
              <a:gd name="T43" fmla="*/ 107 h 264"/>
              <a:gd name="T44" fmla="*/ 392 w 435"/>
              <a:gd name="T45" fmla="*/ 95 h 264"/>
              <a:gd name="T46" fmla="*/ 402 w 435"/>
              <a:gd name="T47" fmla="*/ 104 h 264"/>
              <a:gd name="T48" fmla="*/ 418 w 435"/>
              <a:gd name="T49" fmla="*/ 105 h 264"/>
              <a:gd name="T50" fmla="*/ 432 w 435"/>
              <a:gd name="T51" fmla="*/ 79 h 264"/>
              <a:gd name="T52" fmla="*/ 430 w 435"/>
              <a:gd name="T53" fmla="*/ 52 h 264"/>
              <a:gd name="T54" fmla="*/ 420 w 435"/>
              <a:gd name="T55" fmla="*/ 55 h 264"/>
              <a:gd name="T56" fmla="*/ 415 w 435"/>
              <a:gd name="T57" fmla="*/ 75 h 264"/>
              <a:gd name="T58" fmla="*/ 416 w 435"/>
              <a:gd name="T59" fmla="*/ 55 h 264"/>
              <a:gd name="T60" fmla="*/ 404 w 435"/>
              <a:gd name="T61" fmla="*/ 57 h 264"/>
              <a:gd name="T62" fmla="*/ 382 w 435"/>
              <a:gd name="T63" fmla="*/ 63 h 264"/>
              <a:gd name="T64" fmla="*/ 375 w 435"/>
              <a:gd name="T65" fmla="*/ 40 h 264"/>
              <a:gd name="T66" fmla="*/ 377 w 435"/>
              <a:gd name="T67" fmla="*/ 35 h 264"/>
              <a:gd name="T68" fmla="*/ 385 w 435"/>
              <a:gd name="T69" fmla="*/ 52 h 264"/>
              <a:gd name="T70" fmla="*/ 398 w 435"/>
              <a:gd name="T71" fmla="*/ 40 h 264"/>
              <a:gd name="T72" fmla="*/ 410 w 435"/>
              <a:gd name="T73" fmla="*/ 36 h 264"/>
              <a:gd name="T74" fmla="*/ 406 w 435"/>
              <a:gd name="T75" fmla="*/ 24 h 264"/>
              <a:gd name="T76" fmla="*/ 412 w 435"/>
              <a:gd name="T77" fmla="*/ 20 h 264"/>
              <a:gd name="T78" fmla="*/ 416 w 435"/>
              <a:gd name="T79" fmla="*/ 15 h 264"/>
              <a:gd name="T80" fmla="*/ 407 w 435"/>
              <a:gd name="T81" fmla="*/ 0 h 264"/>
              <a:gd name="T82" fmla="*/ 146 w 435"/>
              <a:gd name="T83" fmla="*/ 67 h 264"/>
              <a:gd name="T84" fmla="*/ 121 w 435"/>
              <a:gd name="T85" fmla="*/ 81 h 264"/>
              <a:gd name="T86" fmla="*/ 109 w 435"/>
              <a:gd name="T87" fmla="*/ 111 h 264"/>
              <a:gd name="T88" fmla="*/ 89 w 435"/>
              <a:gd name="T89" fmla="*/ 121 h 264"/>
              <a:gd name="T90" fmla="*/ 77 w 435"/>
              <a:gd name="T91" fmla="*/ 127 h 264"/>
              <a:gd name="T92" fmla="*/ 66 w 435"/>
              <a:gd name="T93" fmla="*/ 136 h 264"/>
              <a:gd name="T94" fmla="*/ 50 w 435"/>
              <a:gd name="T95" fmla="*/ 160 h 264"/>
              <a:gd name="T96" fmla="*/ 18 w 435"/>
              <a:gd name="T97" fmla="*/ 185 h 264"/>
              <a:gd name="T98" fmla="*/ 9 w 435"/>
              <a:gd name="T99" fmla="*/ 209 h 264"/>
              <a:gd name="T100" fmla="*/ 0 w 435"/>
              <a:gd name="T101" fmla="*/ 235 h 26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</a:cxnLst>
            <a:rect l="0" t="0" r="r" b="b"/>
            <a:pathLst>
              <a:path w="435" h="264">
                <a:moveTo>
                  <a:pt x="0" y="235"/>
                </a:moveTo>
                <a:lnTo>
                  <a:pt x="64" y="221"/>
                </a:lnTo>
                <a:lnTo>
                  <a:pt x="77" y="212"/>
                </a:lnTo>
                <a:lnTo>
                  <a:pt x="82" y="212"/>
                </a:lnTo>
                <a:lnTo>
                  <a:pt x="88" y="204"/>
                </a:lnTo>
                <a:lnTo>
                  <a:pt x="96" y="200"/>
                </a:lnTo>
                <a:lnTo>
                  <a:pt x="100" y="196"/>
                </a:lnTo>
                <a:lnTo>
                  <a:pt x="104" y="195"/>
                </a:lnTo>
                <a:lnTo>
                  <a:pt x="151" y="188"/>
                </a:lnTo>
                <a:lnTo>
                  <a:pt x="168" y="187"/>
                </a:lnTo>
                <a:lnTo>
                  <a:pt x="172" y="192"/>
                </a:lnTo>
                <a:lnTo>
                  <a:pt x="176" y="189"/>
                </a:lnTo>
                <a:lnTo>
                  <a:pt x="183" y="199"/>
                </a:lnTo>
                <a:lnTo>
                  <a:pt x="185" y="204"/>
                </a:lnTo>
                <a:lnTo>
                  <a:pt x="185" y="209"/>
                </a:lnTo>
                <a:lnTo>
                  <a:pt x="186" y="211"/>
                </a:lnTo>
                <a:lnTo>
                  <a:pt x="244" y="199"/>
                </a:lnTo>
                <a:lnTo>
                  <a:pt x="310" y="261"/>
                </a:lnTo>
                <a:lnTo>
                  <a:pt x="312" y="264"/>
                </a:lnTo>
                <a:lnTo>
                  <a:pt x="315" y="262"/>
                </a:lnTo>
                <a:lnTo>
                  <a:pt x="323" y="258"/>
                </a:lnTo>
                <a:lnTo>
                  <a:pt x="331" y="256"/>
                </a:lnTo>
                <a:lnTo>
                  <a:pt x="338" y="256"/>
                </a:lnTo>
                <a:lnTo>
                  <a:pt x="342" y="252"/>
                </a:lnTo>
                <a:lnTo>
                  <a:pt x="343" y="241"/>
                </a:lnTo>
                <a:lnTo>
                  <a:pt x="340" y="229"/>
                </a:lnTo>
                <a:lnTo>
                  <a:pt x="341" y="229"/>
                </a:lnTo>
                <a:lnTo>
                  <a:pt x="343" y="235"/>
                </a:lnTo>
                <a:lnTo>
                  <a:pt x="346" y="248"/>
                </a:lnTo>
                <a:lnTo>
                  <a:pt x="346" y="232"/>
                </a:lnTo>
                <a:lnTo>
                  <a:pt x="347" y="225"/>
                </a:lnTo>
                <a:lnTo>
                  <a:pt x="351" y="215"/>
                </a:lnTo>
                <a:lnTo>
                  <a:pt x="356" y="204"/>
                </a:lnTo>
                <a:lnTo>
                  <a:pt x="365" y="193"/>
                </a:lnTo>
                <a:lnTo>
                  <a:pt x="363" y="188"/>
                </a:lnTo>
                <a:lnTo>
                  <a:pt x="365" y="183"/>
                </a:lnTo>
                <a:lnTo>
                  <a:pt x="363" y="179"/>
                </a:lnTo>
                <a:lnTo>
                  <a:pt x="367" y="181"/>
                </a:lnTo>
                <a:lnTo>
                  <a:pt x="364" y="187"/>
                </a:lnTo>
                <a:lnTo>
                  <a:pt x="369" y="188"/>
                </a:lnTo>
                <a:lnTo>
                  <a:pt x="370" y="188"/>
                </a:lnTo>
                <a:lnTo>
                  <a:pt x="373" y="183"/>
                </a:lnTo>
                <a:lnTo>
                  <a:pt x="376" y="172"/>
                </a:lnTo>
                <a:lnTo>
                  <a:pt x="381" y="173"/>
                </a:lnTo>
                <a:lnTo>
                  <a:pt x="391" y="167"/>
                </a:lnTo>
                <a:lnTo>
                  <a:pt x="395" y="167"/>
                </a:lnTo>
                <a:lnTo>
                  <a:pt x="395" y="164"/>
                </a:lnTo>
                <a:lnTo>
                  <a:pt x="398" y="159"/>
                </a:lnTo>
                <a:lnTo>
                  <a:pt x="400" y="165"/>
                </a:lnTo>
                <a:lnTo>
                  <a:pt x="402" y="159"/>
                </a:lnTo>
                <a:lnTo>
                  <a:pt x="406" y="163"/>
                </a:lnTo>
                <a:lnTo>
                  <a:pt x="408" y="163"/>
                </a:lnTo>
                <a:lnTo>
                  <a:pt x="412" y="152"/>
                </a:lnTo>
                <a:lnTo>
                  <a:pt x="415" y="147"/>
                </a:lnTo>
                <a:lnTo>
                  <a:pt x="417" y="140"/>
                </a:lnTo>
                <a:lnTo>
                  <a:pt x="415" y="136"/>
                </a:lnTo>
                <a:lnTo>
                  <a:pt x="414" y="136"/>
                </a:lnTo>
                <a:lnTo>
                  <a:pt x="412" y="143"/>
                </a:lnTo>
                <a:lnTo>
                  <a:pt x="408" y="144"/>
                </a:lnTo>
                <a:lnTo>
                  <a:pt x="409" y="139"/>
                </a:lnTo>
                <a:lnTo>
                  <a:pt x="407" y="133"/>
                </a:lnTo>
                <a:lnTo>
                  <a:pt x="406" y="139"/>
                </a:lnTo>
                <a:lnTo>
                  <a:pt x="406" y="139"/>
                </a:lnTo>
                <a:lnTo>
                  <a:pt x="403" y="140"/>
                </a:lnTo>
                <a:lnTo>
                  <a:pt x="404" y="145"/>
                </a:lnTo>
                <a:lnTo>
                  <a:pt x="400" y="143"/>
                </a:lnTo>
                <a:lnTo>
                  <a:pt x="392" y="149"/>
                </a:lnTo>
                <a:lnTo>
                  <a:pt x="383" y="148"/>
                </a:lnTo>
                <a:lnTo>
                  <a:pt x="376" y="140"/>
                </a:lnTo>
                <a:lnTo>
                  <a:pt x="373" y="135"/>
                </a:lnTo>
                <a:lnTo>
                  <a:pt x="377" y="137"/>
                </a:lnTo>
                <a:lnTo>
                  <a:pt x="381" y="140"/>
                </a:lnTo>
                <a:lnTo>
                  <a:pt x="386" y="144"/>
                </a:lnTo>
                <a:lnTo>
                  <a:pt x="390" y="145"/>
                </a:lnTo>
                <a:lnTo>
                  <a:pt x="393" y="143"/>
                </a:lnTo>
                <a:lnTo>
                  <a:pt x="400" y="132"/>
                </a:lnTo>
                <a:lnTo>
                  <a:pt x="400" y="127"/>
                </a:lnTo>
                <a:lnTo>
                  <a:pt x="396" y="128"/>
                </a:lnTo>
                <a:lnTo>
                  <a:pt x="397" y="123"/>
                </a:lnTo>
                <a:lnTo>
                  <a:pt x="401" y="123"/>
                </a:lnTo>
                <a:lnTo>
                  <a:pt x="403" y="116"/>
                </a:lnTo>
                <a:lnTo>
                  <a:pt x="394" y="112"/>
                </a:lnTo>
                <a:lnTo>
                  <a:pt x="390" y="112"/>
                </a:lnTo>
                <a:lnTo>
                  <a:pt x="372" y="105"/>
                </a:lnTo>
                <a:lnTo>
                  <a:pt x="371" y="104"/>
                </a:lnTo>
                <a:lnTo>
                  <a:pt x="371" y="103"/>
                </a:lnTo>
                <a:lnTo>
                  <a:pt x="380" y="105"/>
                </a:lnTo>
                <a:lnTo>
                  <a:pt x="388" y="107"/>
                </a:lnTo>
                <a:lnTo>
                  <a:pt x="392" y="104"/>
                </a:lnTo>
                <a:lnTo>
                  <a:pt x="394" y="105"/>
                </a:lnTo>
                <a:lnTo>
                  <a:pt x="393" y="100"/>
                </a:lnTo>
                <a:lnTo>
                  <a:pt x="392" y="95"/>
                </a:lnTo>
                <a:lnTo>
                  <a:pt x="396" y="93"/>
                </a:lnTo>
                <a:lnTo>
                  <a:pt x="394" y="97"/>
                </a:lnTo>
                <a:lnTo>
                  <a:pt x="398" y="103"/>
                </a:lnTo>
                <a:lnTo>
                  <a:pt x="402" y="104"/>
                </a:lnTo>
                <a:lnTo>
                  <a:pt x="403" y="99"/>
                </a:lnTo>
                <a:lnTo>
                  <a:pt x="405" y="104"/>
                </a:lnTo>
                <a:lnTo>
                  <a:pt x="409" y="104"/>
                </a:lnTo>
                <a:lnTo>
                  <a:pt x="418" y="105"/>
                </a:lnTo>
                <a:lnTo>
                  <a:pt x="422" y="100"/>
                </a:lnTo>
                <a:lnTo>
                  <a:pt x="428" y="83"/>
                </a:lnTo>
                <a:lnTo>
                  <a:pt x="428" y="77"/>
                </a:lnTo>
                <a:lnTo>
                  <a:pt x="432" y="79"/>
                </a:lnTo>
                <a:lnTo>
                  <a:pt x="435" y="73"/>
                </a:lnTo>
                <a:lnTo>
                  <a:pt x="434" y="69"/>
                </a:lnTo>
                <a:lnTo>
                  <a:pt x="433" y="57"/>
                </a:lnTo>
                <a:lnTo>
                  <a:pt x="430" y="52"/>
                </a:lnTo>
                <a:lnTo>
                  <a:pt x="426" y="47"/>
                </a:lnTo>
                <a:lnTo>
                  <a:pt x="426" y="51"/>
                </a:lnTo>
                <a:lnTo>
                  <a:pt x="426" y="55"/>
                </a:lnTo>
                <a:lnTo>
                  <a:pt x="420" y="55"/>
                </a:lnTo>
                <a:lnTo>
                  <a:pt x="420" y="61"/>
                </a:lnTo>
                <a:lnTo>
                  <a:pt x="421" y="72"/>
                </a:lnTo>
                <a:lnTo>
                  <a:pt x="417" y="77"/>
                </a:lnTo>
                <a:lnTo>
                  <a:pt x="415" y="75"/>
                </a:lnTo>
                <a:lnTo>
                  <a:pt x="418" y="69"/>
                </a:lnTo>
                <a:lnTo>
                  <a:pt x="414" y="67"/>
                </a:lnTo>
                <a:lnTo>
                  <a:pt x="416" y="61"/>
                </a:lnTo>
                <a:lnTo>
                  <a:pt x="416" y="55"/>
                </a:lnTo>
                <a:lnTo>
                  <a:pt x="415" y="49"/>
                </a:lnTo>
                <a:lnTo>
                  <a:pt x="411" y="49"/>
                </a:lnTo>
                <a:lnTo>
                  <a:pt x="404" y="52"/>
                </a:lnTo>
                <a:lnTo>
                  <a:pt x="404" y="57"/>
                </a:lnTo>
                <a:lnTo>
                  <a:pt x="395" y="55"/>
                </a:lnTo>
                <a:lnTo>
                  <a:pt x="391" y="59"/>
                </a:lnTo>
                <a:lnTo>
                  <a:pt x="387" y="61"/>
                </a:lnTo>
                <a:lnTo>
                  <a:pt x="382" y="63"/>
                </a:lnTo>
                <a:lnTo>
                  <a:pt x="382" y="56"/>
                </a:lnTo>
                <a:lnTo>
                  <a:pt x="378" y="51"/>
                </a:lnTo>
                <a:lnTo>
                  <a:pt x="376" y="45"/>
                </a:lnTo>
                <a:lnTo>
                  <a:pt x="375" y="40"/>
                </a:lnTo>
                <a:lnTo>
                  <a:pt x="377" y="35"/>
                </a:lnTo>
                <a:lnTo>
                  <a:pt x="375" y="31"/>
                </a:lnTo>
                <a:lnTo>
                  <a:pt x="377" y="33"/>
                </a:lnTo>
                <a:lnTo>
                  <a:pt x="377" y="35"/>
                </a:lnTo>
                <a:lnTo>
                  <a:pt x="378" y="36"/>
                </a:lnTo>
                <a:lnTo>
                  <a:pt x="377" y="41"/>
                </a:lnTo>
                <a:lnTo>
                  <a:pt x="381" y="52"/>
                </a:lnTo>
                <a:lnTo>
                  <a:pt x="385" y="52"/>
                </a:lnTo>
                <a:lnTo>
                  <a:pt x="390" y="55"/>
                </a:lnTo>
                <a:lnTo>
                  <a:pt x="399" y="44"/>
                </a:lnTo>
                <a:lnTo>
                  <a:pt x="394" y="40"/>
                </a:lnTo>
                <a:lnTo>
                  <a:pt x="398" y="40"/>
                </a:lnTo>
                <a:lnTo>
                  <a:pt x="404" y="41"/>
                </a:lnTo>
                <a:lnTo>
                  <a:pt x="401" y="36"/>
                </a:lnTo>
                <a:lnTo>
                  <a:pt x="406" y="39"/>
                </a:lnTo>
                <a:lnTo>
                  <a:pt x="410" y="36"/>
                </a:lnTo>
                <a:lnTo>
                  <a:pt x="410" y="32"/>
                </a:lnTo>
                <a:lnTo>
                  <a:pt x="405" y="27"/>
                </a:lnTo>
                <a:lnTo>
                  <a:pt x="401" y="25"/>
                </a:lnTo>
                <a:lnTo>
                  <a:pt x="406" y="24"/>
                </a:lnTo>
                <a:lnTo>
                  <a:pt x="414" y="31"/>
                </a:lnTo>
                <a:lnTo>
                  <a:pt x="419" y="31"/>
                </a:lnTo>
                <a:lnTo>
                  <a:pt x="415" y="25"/>
                </a:lnTo>
                <a:lnTo>
                  <a:pt x="412" y="20"/>
                </a:lnTo>
                <a:lnTo>
                  <a:pt x="421" y="29"/>
                </a:lnTo>
                <a:lnTo>
                  <a:pt x="424" y="36"/>
                </a:lnTo>
                <a:lnTo>
                  <a:pt x="424" y="31"/>
                </a:lnTo>
                <a:lnTo>
                  <a:pt x="416" y="15"/>
                </a:lnTo>
                <a:lnTo>
                  <a:pt x="416" y="12"/>
                </a:lnTo>
                <a:lnTo>
                  <a:pt x="411" y="11"/>
                </a:lnTo>
                <a:lnTo>
                  <a:pt x="408" y="5"/>
                </a:lnTo>
                <a:lnTo>
                  <a:pt x="407" y="0"/>
                </a:lnTo>
                <a:lnTo>
                  <a:pt x="357" y="15"/>
                </a:lnTo>
                <a:lnTo>
                  <a:pt x="300" y="31"/>
                </a:lnTo>
                <a:lnTo>
                  <a:pt x="188" y="59"/>
                </a:lnTo>
                <a:lnTo>
                  <a:pt x="146" y="67"/>
                </a:lnTo>
                <a:lnTo>
                  <a:pt x="131" y="68"/>
                </a:lnTo>
                <a:lnTo>
                  <a:pt x="122" y="68"/>
                </a:lnTo>
                <a:lnTo>
                  <a:pt x="120" y="76"/>
                </a:lnTo>
                <a:lnTo>
                  <a:pt x="121" y="81"/>
                </a:lnTo>
                <a:lnTo>
                  <a:pt x="119" y="91"/>
                </a:lnTo>
                <a:lnTo>
                  <a:pt x="115" y="93"/>
                </a:lnTo>
                <a:lnTo>
                  <a:pt x="111" y="99"/>
                </a:lnTo>
                <a:lnTo>
                  <a:pt x="109" y="111"/>
                </a:lnTo>
                <a:lnTo>
                  <a:pt x="105" y="116"/>
                </a:lnTo>
                <a:lnTo>
                  <a:pt x="101" y="112"/>
                </a:lnTo>
                <a:lnTo>
                  <a:pt x="93" y="117"/>
                </a:lnTo>
                <a:lnTo>
                  <a:pt x="89" y="121"/>
                </a:lnTo>
                <a:lnTo>
                  <a:pt x="87" y="127"/>
                </a:lnTo>
                <a:lnTo>
                  <a:pt x="83" y="132"/>
                </a:lnTo>
                <a:lnTo>
                  <a:pt x="81" y="132"/>
                </a:lnTo>
                <a:lnTo>
                  <a:pt x="77" y="127"/>
                </a:lnTo>
                <a:lnTo>
                  <a:pt x="73" y="131"/>
                </a:lnTo>
                <a:lnTo>
                  <a:pt x="71" y="133"/>
                </a:lnTo>
                <a:lnTo>
                  <a:pt x="70" y="139"/>
                </a:lnTo>
                <a:lnTo>
                  <a:pt x="66" y="136"/>
                </a:lnTo>
                <a:lnTo>
                  <a:pt x="64" y="148"/>
                </a:lnTo>
                <a:lnTo>
                  <a:pt x="62" y="153"/>
                </a:lnTo>
                <a:lnTo>
                  <a:pt x="58" y="153"/>
                </a:lnTo>
                <a:lnTo>
                  <a:pt x="50" y="160"/>
                </a:lnTo>
                <a:lnTo>
                  <a:pt x="38" y="176"/>
                </a:lnTo>
                <a:lnTo>
                  <a:pt x="35" y="177"/>
                </a:lnTo>
                <a:lnTo>
                  <a:pt x="26" y="179"/>
                </a:lnTo>
                <a:lnTo>
                  <a:pt x="18" y="185"/>
                </a:lnTo>
                <a:lnTo>
                  <a:pt x="15" y="191"/>
                </a:lnTo>
                <a:lnTo>
                  <a:pt x="13" y="196"/>
                </a:lnTo>
                <a:lnTo>
                  <a:pt x="12" y="204"/>
                </a:lnTo>
                <a:lnTo>
                  <a:pt x="9" y="209"/>
                </a:lnTo>
                <a:lnTo>
                  <a:pt x="0" y="212"/>
                </a:lnTo>
                <a:lnTo>
                  <a:pt x="0" y="235"/>
                </a:lnTo>
                <a:lnTo>
                  <a:pt x="0" y="235"/>
                </a:lnTo>
                <a:lnTo>
                  <a:pt x="0" y="235"/>
                </a:lnTo>
                <a:close/>
              </a:path>
            </a:pathLst>
          </a:custGeom>
          <a:solidFill>
            <a:srgbClr val="E75936">
              <a:alpha val="80121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E4EBB93C-439E-4AB7-848B-BFBA376CAE54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49">
        <xdr:nvSpPr>
          <xdr:cNvPr id="490" name="VA">
            <a:extLst>
              <a:ext uri="{FF2B5EF4-FFF2-40B4-BE49-F238E27FC236}">
                <a16:creationId xmlns:a16="http://schemas.microsoft.com/office/drawing/2014/main" id="{00000000-0008-0000-0100-0000EA010000}"/>
              </a:ext>
            </a:extLst>
          </xdr:cNvPr>
          <xdr:cNvSpPr>
            <a:spLocks/>
          </xdr:cNvSpPr>
        </xdr:nvSpPr>
        <xdr:spPr bwMode="auto">
          <a:xfrm>
            <a:off x="4763279" y="2688437"/>
            <a:ext cx="643218" cy="351865"/>
          </a:xfrm>
          <a:custGeom>
            <a:avLst/>
            <a:gdLst>
              <a:gd name="T0" fmla="*/ 59 w 396"/>
              <a:gd name="T1" fmla="*/ 292 h 301"/>
              <a:gd name="T2" fmla="*/ 111 w 396"/>
              <a:gd name="T3" fmla="*/ 281 h 301"/>
              <a:gd name="T4" fmla="*/ 337 w 396"/>
              <a:gd name="T5" fmla="*/ 228 h 301"/>
              <a:gd name="T6" fmla="*/ 390 w 396"/>
              <a:gd name="T7" fmla="*/ 213 h 301"/>
              <a:gd name="T8" fmla="*/ 395 w 396"/>
              <a:gd name="T9" fmla="*/ 212 h 301"/>
              <a:gd name="T10" fmla="*/ 374 w 396"/>
              <a:gd name="T11" fmla="*/ 184 h 301"/>
              <a:gd name="T12" fmla="*/ 366 w 396"/>
              <a:gd name="T13" fmla="*/ 189 h 301"/>
              <a:gd name="T14" fmla="*/ 356 w 396"/>
              <a:gd name="T15" fmla="*/ 184 h 301"/>
              <a:gd name="T16" fmla="*/ 347 w 396"/>
              <a:gd name="T17" fmla="*/ 169 h 301"/>
              <a:gd name="T18" fmla="*/ 327 w 396"/>
              <a:gd name="T19" fmla="*/ 166 h 301"/>
              <a:gd name="T20" fmla="*/ 328 w 396"/>
              <a:gd name="T21" fmla="*/ 162 h 301"/>
              <a:gd name="T22" fmla="*/ 339 w 396"/>
              <a:gd name="T23" fmla="*/ 166 h 301"/>
              <a:gd name="T24" fmla="*/ 354 w 396"/>
              <a:gd name="T25" fmla="*/ 176 h 301"/>
              <a:gd name="T26" fmla="*/ 367 w 396"/>
              <a:gd name="T27" fmla="*/ 180 h 301"/>
              <a:gd name="T28" fmla="*/ 361 w 396"/>
              <a:gd name="T29" fmla="*/ 161 h 301"/>
              <a:gd name="T30" fmla="*/ 336 w 396"/>
              <a:gd name="T31" fmla="*/ 144 h 301"/>
              <a:gd name="T32" fmla="*/ 358 w 396"/>
              <a:gd name="T33" fmla="*/ 153 h 301"/>
              <a:gd name="T34" fmla="*/ 364 w 396"/>
              <a:gd name="T35" fmla="*/ 152 h 301"/>
              <a:gd name="T36" fmla="*/ 355 w 396"/>
              <a:gd name="T37" fmla="*/ 136 h 301"/>
              <a:gd name="T38" fmla="*/ 345 w 396"/>
              <a:gd name="T39" fmla="*/ 125 h 301"/>
              <a:gd name="T40" fmla="*/ 327 w 396"/>
              <a:gd name="T41" fmla="*/ 108 h 301"/>
              <a:gd name="T42" fmla="*/ 311 w 396"/>
              <a:gd name="T43" fmla="*/ 92 h 301"/>
              <a:gd name="T44" fmla="*/ 327 w 396"/>
              <a:gd name="T45" fmla="*/ 105 h 301"/>
              <a:gd name="T46" fmla="*/ 346 w 396"/>
              <a:gd name="T47" fmla="*/ 122 h 301"/>
              <a:gd name="T48" fmla="*/ 357 w 396"/>
              <a:gd name="T49" fmla="*/ 118 h 301"/>
              <a:gd name="T50" fmla="*/ 358 w 396"/>
              <a:gd name="T51" fmla="*/ 102 h 301"/>
              <a:gd name="T52" fmla="*/ 342 w 396"/>
              <a:gd name="T53" fmla="*/ 96 h 301"/>
              <a:gd name="T54" fmla="*/ 329 w 396"/>
              <a:gd name="T55" fmla="*/ 88 h 301"/>
              <a:gd name="T56" fmla="*/ 314 w 396"/>
              <a:gd name="T57" fmla="*/ 78 h 301"/>
              <a:gd name="T58" fmla="*/ 302 w 396"/>
              <a:gd name="T59" fmla="*/ 80 h 301"/>
              <a:gd name="T60" fmla="*/ 298 w 396"/>
              <a:gd name="T61" fmla="*/ 68 h 301"/>
              <a:gd name="T62" fmla="*/ 304 w 396"/>
              <a:gd name="T63" fmla="*/ 50 h 301"/>
              <a:gd name="T64" fmla="*/ 306 w 396"/>
              <a:gd name="T65" fmla="*/ 34 h 301"/>
              <a:gd name="T66" fmla="*/ 294 w 396"/>
              <a:gd name="T67" fmla="*/ 21 h 301"/>
              <a:gd name="T68" fmla="*/ 280 w 396"/>
              <a:gd name="T69" fmla="*/ 10 h 301"/>
              <a:gd name="T70" fmla="*/ 264 w 396"/>
              <a:gd name="T71" fmla="*/ 10 h 301"/>
              <a:gd name="T72" fmla="*/ 235 w 396"/>
              <a:gd name="T73" fmla="*/ 8 h 301"/>
              <a:gd name="T74" fmla="*/ 228 w 396"/>
              <a:gd name="T75" fmla="*/ 42 h 301"/>
              <a:gd name="T76" fmla="*/ 214 w 396"/>
              <a:gd name="T77" fmla="*/ 61 h 301"/>
              <a:gd name="T78" fmla="*/ 205 w 396"/>
              <a:gd name="T79" fmla="*/ 78 h 301"/>
              <a:gd name="T80" fmla="*/ 189 w 396"/>
              <a:gd name="T81" fmla="*/ 96 h 301"/>
              <a:gd name="T82" fmla="*/ 180 w 396"/>
              <a:gd name="T83" fmla="*/ 101 h 301"/>
              <a:gd name="T84" fmla="*/ 173 w 396"/>
              <a:gd name="T85" fmla="*/ 126 h 301"/>
              <a:gd name="T86" fmla="*/ 162 w 396"/>
              <a:gd name="T87" fmla="*/ 161 h 301"/>
              <a:gd name="T88" fmla="*/ 162 w 396"/>
              <a:gd name="T89" fmla="*/ 188 h 301"/>
              <a:gd name="T90" fmla="*/ 140 w 396"/>
              <a:gd name="T91" fmla="*/ 205 h 301"/>
              <a:gd name="T92" fmla="*/ 129 w 396"/>
              <a:gd name="T93" fmla="*/ 213 h 301"/>
              <a:gd name="T94" fmla="*/ 107 w 396"/>
              <a:gd name="T95" fmla="*/ 221 h 301"/>
              <a:gd name="T96" fmla="*/ 80 w 396"/>
              <a:gd name="T97" fmla="*/ 216 h 301"/>
              <a:gd name="T98" fmla="*/ 47 w 396"/>
              <a:gd name="T99" fmla="*/ 244 h 301"/>
              <a:gd name="T100" fmla="*/ 38 w 396"/>
              <a:gd name="T101" fmla="*/ 265 h 301"/>
              <a:gd name="T102" fmla="*/ 26 w 396"/>
              <a:gd name="T103" fmla="*/ 284 h 301"/>
              <a:gd name="T104" fmla="*/ 0 w 396"/>
              <a:gd name="T105" fmla="*/ 301 h 30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</a:cxnLst>
            <a:rect l="0" t="0" r="r" b="b"/>
            <a:pathLst>
              <a:path w="396" h="301">
                <a:moveTo>
                  <a:pt x="0" y="301"/>
                </a:moveTo>
                <a:lnTo>
                  <a:pt x="16" y="298"/>
                </a:lnTo>
                <a:lnTo>
                  <a:pt x="24" y="298"/>
                </a:lnTo>
                <a:lnTo>
                  <a:pt x="59" y="292"/>
                </a:lnTo>
                <a:lnTo>
                  <a:pt x="80" y="286"/>
                </a:lnTo>
                <a:lnTo>
                  <a:pt x="96" y="281"/>
                </a:lnTo>
                <a:lnTo>
                  <a:pt x="102" y="281"/>
                </a:lnTo>
                <a:lnTo>
                  <a:pt x="111" y="281"/>
                </a:lnTo>
                <a:lnTo>
                  <a:pt x="126" y="280"/>
                </a:lnTo>
                <a:lnTo>
                  <a:pt x="168" y="272"/>
                </a:lnTo>
                <a:lnTo>
                  <a:pt x="280" y="244"/>
                </a:lnTo>
                <a:lnTo>
                  <a:pt x="337" y="228"/>
                </a:lnTo>
                <a:lnTo>
                  <a:pt x="387" y="213"/>
                </a:lnTo>
                <a:lnTo>
                  <a:pt x="386" y="210"/>
                </a:lnTo>
                <a:lnTo>
                  <a:pt x="388" y="213"/>
                </a:lnTo>
                <a:lnTo>
                  <a:pt x="390" y="213"/>
                </a:lnTo>
                <a:lnTo>
                  <a:pt x="389" y="208"/>
                </a:lnTo>
                <a:lnTo>
                  <a:pt x="389" y="201"/>
                </a:lnTo>
                <a:lnTo>
                  <a:pt x="393" y="205"/>
                </a:lnTo>
                <a:lnTo>
                  <a:pt x="395" y="212"/>
                </a:lnTo>
                <a:lnTo>
                  <a:pt x="396" y="210"/>
                </a:lnTo>
                <a:lnTo>
                  <a:pt x="389" y="194"/>
                </a:lnTo>
                <a:lnTo>
                  <a:pt x="385" y="184"/>
                </a:lnTo>
                <a:lnTo>
                  <a:pt x="374" y="184"/>
                </a:lnTo>
                <a:lnTo>
                  <a:pt x="370" y="182"/>
                </a:lnTo>
                <a:lnTo>
                  <a:pt x="368" y="189"/>
                </a:lnTo>
                <a:lnTo>
                  <a:pt x="370" y="192"/>
                </a:lnTo>
                <a:lnTo>
                  <a:pt x="366" y="189"/>
                </a:lnTo>
                <a:lnTo>
                  <a:pt x="363" y="189"/>
                </a:lnTo>
                <a:lnTo>
                  <a:pt x="358" y="194"/>
                </a:lnTo>
                <a:lnTo>
                  <a:pt x="360" y="189"/>
                </a:lnTo>
                <a:lnTo>
                  <a:pt x="356" y="184"/>
                </a:lnTo>
                <a:lnTo>
                  <a:pt x="352" y="180"/>
                </a:lnTo>
                <a:lnTo>
                  <a:pt x="351" y="181"/>
                </a:lnTo>
                <a:lnTo>
                  <a:pt x="349" y="174"/>
                </a:lnTo>
                <a:lnTo>
                  <a:pt x="347" y="169"/>
                </a:lnTo>
                <a:lnTo>
                  <a:pt x="343" y="172"/>
                </a:lnTo>
                <a:lnTo>
                  <a:pt x="339" y="169"/>
                </a:lnTo>
                <a:lnTo>
                  <a:pt x="335" y="170"/>
                </a:lnTo>
                <a:lnTo>
                  <a:pt x="327" y="166"/>
                </a:lnTo>
                <a:lnTo>
                  <a:pt x="314" y="166"/>
                </a:lnTo>
                <a:lnTo>
                  <a:pt x="315" y="164"/>
                </a:lnTo>
                <a:lnTo>
                  <a:pt x="319" y="165"/>
                </a:lnTo>
                <a:lnTo>
                  <a:pt x="328" y="162"/>
                </a:lnTo>
                <a:lnTo>
                  <a:pt x="332" y="168"/>
                </a:lnTo>
                <a:lnTo>
                  <a:pt x="334" y="168"/>
                </a:lnTo>
                <a:lnTo>
                  <a:pt x="335" y="161"/>
                </a:lnTo>
                <a:lnTo>
                  <a:pt x="339" y="166"/>
                </a:lnTo>
                <a:lnTo>
                  <a:pt x="343" y="169"/>
                </a:lnTo>
                <a:lnTo>
                  <a:pt x="347" y="165"/>
                </a:lnTo>
                <a:lnTo>
                  <a:pt x="350" y="170"/>
                </a:lnTo>
                <a:lnTo>
                  <a:pt x="354" y="176"/>
                </a:lnTo>
                <a:lnTo>
                  <a:pt x="358" y="178"/>
                </a:lnTo>
                <a:lnTo>
                  <a:pt x="362" y="184"/>
                </a:lnTo>
                <a:lnTo>
                  <a:pt x="364" y="181"/>
                </a:lnTo>
                <a:lnTo>
                  <a:pt x="367" y="180"/>
                </a:lnTo>
                <a:lnTo>
                  <a:pt x="368" y="173"/>
                </a:lnTo>
                <a:lnTo>
                  <a:pt x="366" y="168"/>
                </a:lnTo>
                <a:lnTo>
                  <a:pt x="362" y="166"/>
                </a:lnTo>
                <a:lnTo>
                  <a:pt x="361" y="161"/>
                </a:lnTo>
                <a:lnTo>
                  <a:pt x="356" y="162"/>
                </a:lnTo>
                <a:lnTo>
                  <a:pt x="348" y="158"/>
                </a:lnTo>
                <a:lnTo>
                  <a:pt x="345" y="153"/>
                </a:lnTo>
                <a:lnTo>
                  <a:pt x="336" y="144"/>
                </a:lnTo>
                <a:lnTo>
                  <a:pt x="340" y="145"/>
                </a:lnTo>
                <a:lnTo>
                  <a:pt x="348" y="154"/>
                </a:lnTo>
                <a:lnTo>
                  <a:pt x="356" y="160"/>
                </a:lnTo>
                <a:lnTo>
                  <a:pt x="358" y="153"/>
                </a:lnTo>
                <a:lnTo>
                  <a:pt x="355" y="148"/>
                </a:lnTo>
                <a:lnTo>
                  <a:pt x="356" y="146"/>
                </a:lnTo>
                <a:lnTo>
                  <a:pt x="360" y="148"/>
                </a:lnTo>
                <a:lnTo>
                  <a:pt x="364" y="152"/>
                </a:lnTo>
                <a:lnTo>
                  <a:pt x="365" y="146"/>
                </a:lnTo>
                <a:lnTo>
                  <a:pt x="363" y="137"/>
                </a:lnTo>
                <a:lnTo>
                  <a:pt x="359" y="137"/>
                </a:lnTo>
                <a:lnTo>
                  <a:pt x="355" y="136"/>
                </a:lnTo>
                <a:lnTo>
                  <a:pt x="357" y="134"/>
                </a:lnTo>
                <a:lnTo>
                  <a:pt x="353" y="129"/>
                </a:lnTo>
                <a:lnTo>
                  <a:pt x="349" y="129"/>
                </a:lnTo>
                <a:lnTo>
                  <a:pt x="345" y="125"/>
                </a:lnTo>
                <a:lnTo>
                  <a:pt x="343" y="122"/>
                </a:lnTo>
                <a:lnTo>
                  <a:pt x="335" y="117"/>
                </a:lnTo>
                <a:lnTo>
                  <a:pt x="332" y="110"/>
                </a:lnTo>
                <a:lnTo>
                  <a:pt x="327" y="108"/>
                </a:lnTo>
                <a:lnTo>
                  <a:pt x="325" y="105"/>
                </a:lnTo>
                <a:lnTo>
                  <a:pt x="323" y="100"/>
                </a:lnTo>
                <a:lnTo>
                  <a:pt x="314" y="93"/>
                </a:lnTo>
                <a:lnTo>
                  <a:pt x="311" y="92"/>
                </a:lnTo>
                <a:lnTo>
                  <a:pt x="315" y="92"/>
                </a:lnTo>
                <a:lnTo>
                  <a:pt x="319" y="94"/>
                </a:lnTo>
                <a:lnTo>
                  <a:pt x="324" y="100"/>
                </a:lnTo>
                <a:lnTo>
                  <a:pt x="327" y="105"/>
                </a:lnTo>
                <a:lnTo>
                  <a:pt x="331" y="108"/>
                </a:lnTo>
                <a:lnTo>
                  <a:pt x="335" y="113"/>
                </a:lnTo>
                <a:lnTo>
                  <a:pt x="338" y="113"/>
                </a:lnTo>
                <a:lnTo>
                  <a:pt x="346" y="122"/>
                </a:lnTo>
                <a:lnTo>
                  <a:pt x="350" y="122"/>
                </a:lnTo>
                <a:lnTo>
                  <a:pt x="351" y="124"/>
                </a:lnTo>
                <a:lnTo>
                  <a:pt x="355" y="126"/>
                </a:lnTo>
                <a:lnTo>
                  <a:pt x="357" y="118"/>
                </a:lnTo>
                <a:lnTo>
                  <a:pt x="357" y="113"/>
                </a:lnTo>
                <a:lnTo>
                  <a:pt x="355" y="108"/>
                </a:lnTo>
                <a:lnTo>
                  <a:pt x="358" y="108"/>
                </a:lnTo>
                <a:lnTo>
                  <a:pt x="358" y="102"/>
                </a:lnTo>
                <a:lnTo>
                  <a:pt x="350" y="98"/>
                </a:lnTo>
                <a:lnTo>
                  <a:pt x="346" y="97"/>
                </a:lnTo>
                <a:lnTo>
                  <a:pt x="346" y="96"/>
                </a:lnTo>
                <a:lnTo>
                  <a:pt x="342" y="96"/>
                </a:lnTo>
                <a:lnTo>
                  <a:pt x="342" y="92"/>
                </a:lnTo>
                <a:lnTo>
                  <a:pt x="338" y="89"/>
                </a:lnTo>
                <a:lnTo>
                  <a:pt x="337" y="86"/>
                </a:lnTo>
                <a:lnTo>
                  <a:pt x="329" y="88"/>
                </a:lnTo>
                <a:lnTo>
                  <a:pt x="328" y="86"/>
                </a:lnTo>
                <a:lnTo>
                  <a:pt x="323" y="88"/>
                </a:lnTo>
                <a:lnTo>
                  <a:pt x="321" y="86"/>
                </a:lnTo>
                <a:lnTo>
                  <a:pt x="314" y="78"/>
                </a:lnTo>
                <a:lnTo>
                  <a:pt x="314" y="73"/>
                </a:lnTo>
                <a:lnTo>
                  <a:pt x="310" y="73"/>
                </a:lnTo>
                <a:lnTo>
                  <a:pt x="305" y="78"/>
                </a:lnTo>
                <a:lnTo>
                  <a:pt x="302" y="80"/>
                </a:lnTo>
                <a:lnTo>
                  <a:pt x="298" y="78"/>
                </a:lnTo>
                <a:lnTo>
                  <a:pt x="297" y="73"/>
                </a:lnTo>
                <a:lnTo>
                  <a:pt x="298" y="73"/>
                </a:lnTo>
                <a:lnTo>
                  <a:pt x="298" y="68"/>
                </a:lnTo>
                <a:lnTo>
                  <a:pt x="299" y="52"/>
                </a:lnTo>
                <a:lnTo>
                  <a:pt x="301" y="53"/>
                </a:lnTo>
                <a:lnTo>
                  <a:pt x="303" y="53"/>
                </a:lnTo>
                <a:lnTo>
                  <a:pt x="304" y="50"/>
                </a:lnTo>
                <a:lnTo>
                  <a:pt x="303" y="48"/>
                </a:lnTo>
                <a:lnTo>
                  <a:pt x="307" y="42"/>
                </a:lnTo>
                <a:lnTo>
                  <a:pt x="306" y="37"/>
                </a:lnTo>
                <a:lnTo>
                  <a:pt x="306" y="34"/>
                </a:lnTo>
                <a:lnTo>
                  <a:pt x="304" y="28"/>
                </a:lnTo>
                <a:lnTo>
                  <a:pt x="300" y="25"/>
                </a:lnTo>
                <a:lnTo>
                  <a:pt x="297" y="24"/>
                </a:lnTo>
                <a:lnTo>
                  <a:pt x="294" y="21"/>
                </a:lnTo>
                <a:lnTo>
                  <a:pt x="289" y="18"/>
                </a:lnTo>
                <a:lnTo>
                  <a:pt x="284" y="18"/>
                </a:lnTo>
                <a:lnTo>
                  <a:pt x="279" y="16"/>
                </a:lnTo>
                <a:lnTo>
                  <a:pt x="280" y="10"/>
                </a:lnTo>
                <a:lnTo>
                  <a:pt x="278" y="5"/>
                </a:lnTo>
                <a:lnTo>
                  <a:pt x="274" y="1"/>
                </a:lnTo>
                <a:lnTo>
                  <a:pt x="265" y="1"/>
                </a:lnTo>
                <a:lnTo>
                  <a:pt x="264" y="10"/>
                </a:lnTo>
                <a:lnTo>
                  <a:pt x="261" y="17"/>
                </a:lnTo>
                <a:lnTo>
                  <a:pt x="239" y="0"/>
                </a:lnTo>
                <a:lnTo>
                  <a:pt x="234" y="2"/>
                </a:lnTo>
                <a:lnTo>
                  <a:pt x="235" y="8"/>
                </a:lnTo>
                <a:lnTo>
                  <a:pt x="233" y="14"/>
                </a:lnTo>
                <a:lnTo>
                  <a:pt x="234" y="25"/>
                </a:lnTo>
                <a:lnTo>
                  <a:pt x="231" y="32"/>
                </a:lnTo>
                <a:lnTo>
                  <a:pt x="228" y="42"/>
                </a:lnTo>
                <a:lnTo>
                  <a:pt x="225" y="48"/>
                </a:lnTo>
                <a:lnTo>
                  <a:pt x="221" y="48"/>
                </a:lnTo>
                <a:lnTo>
                  <a:pt x="218" y="58"/>
                </a:lnTo>
                <a:lnTo>
                  <a:pt x="214" y="61"/>
                </a:lnTo>
                <a:lnTo>
                  <a:pt x="209" y="60"/>
                </a:lnTo>
                <a:lnTo>
                  <a:pt x="208" y="65"/>
                </a:lnTo>
                <a:lnTo>
                  <a:pt x="207" y="73"/>
                </a:lnTo>
                <a:lnTo>
                  <a:pt x="205" y="78"/>
                </a:lnTo>
                <a:lnTo>
                  <a:pt x="203" y="90"/>
                </a:lnTo>
                <a:lnTo>
                  <a:pt x="201" y="96"/>
                </a:lnTo>
                <a:lnTo>
                  <a:pt x="197" y="97"/>
                </a:lnTo>
                <a:lnTo>
                  <a:pt x="189" y="96"/>
                </a:lnTo>
                <a:lnTo>
                  <a:pt x="189" y="93"/>
                </a:lnTo>
                <a:lnTo>
                  <a:pt x="185" y="89"/>
                </a:lnTo>
                <a:lnTo>
                  <a:pt x="180" y="90"/>
                </a:lnTo>
                <a:lnTo>
                  <a:pt x="180" y="101"/>
                </a:lnTo>
                <a:lnTo>
                  <a:pt x="180" y="108"/>
                </a:lnTo>
                <a:lnTo>
                  <a:pt x="178" y="109"/>
                </a:lnTo>
                <a:lnTo>
                  <a:pt x="176" y="121"/>
                </a:lnTo>
                <a:lnTo>
                  <a:pt x="173" y="126"/>
                </a:lnTo>
                <a:lnTo>
                  <a:pt x="172" y="132"/>
                </a:lnTo>
                <a:lnTo>
                  <a:pt x="170" y="142"/>
                </a:lnTo>
                <a:lnTo>
                  <a:pt x="166" y="150"/>
                </a:lnTo>
                <a:lnTo>
                  <a:pt x="162" y="161"/>
                </a:lnTo>
                <a:lnTo>
                  <a:pt x="160" y="172"/>
                </a:lnTo>
                <a:lnTo>
                  <a:pt x="164" y="177"/>
                </a:lnTo>
                <a:lnTo>
                  <a:pt x="160" y="182"/>
                </a:lnTo>
                <a:lnTo>
                  <a:pt x="162" y="188"/>
                </a:lnTo>
                <a:lnTo>
                  <a:pt x="161" y="189"/>
                </a:lnTo>
                <a:lnTo>
                  <a:pt x="153" y="197"/>
                </a:lnTo>
                <a:lnTo>
                  <a:pt x="148" y="196"/>
                </a:lnTo>
                <a:lnTo>
                  <a:pt x="140" y="205"/>
                </a:lnTo>
                <a:lnTo>
                  <a:pt x="134" y="202"/>
                </a:lnTo>
                <a:lnTo>
                  <a:pt x="134" y="208"/>
                </a:lnTo>
                <a:lnTo>
                  <a:pt x="133" y="212"/>
                </a:lnTo>
                <a:lnTo>
                  <a:pt x="129" y="213"/>
                </a:lnTo>
                <a:lnTo>
                  <a:pt x="120" y="220"/>
                </a:lnTo>
                <a:lnTo>
                  <a:pt x="116" y="220"/>
                </a:lnTo>
                <a:lnTo>
                  <a:pt x="109" y="216"/>
                </a:lnTo>
                <a:lnTo>
                  <a:pt x="107" y="221"/>
                </a:lnTo>
                <a:lnTo>
                  <a:pt x="99" y="229"/>
                </a:lnTo>
                <a:lnTo>
                  <a:pt x="93" y="228"/>
                </a:lnTo>
                <a:lnTo>
                  <a:pt x="85" y="221"/>
                </a:lnTo>
                <a:lnTo>
                  <a:pt x="80" y="216"/>
                </a:lnTo>
                <a:lnTo>
                  <a:pt x="77" y="210"/>
                </a:lnTo>
                <a:lnTo>
                  <a:pt x="77" y="205"/>
                </a:lnTo>
                <a:lnTo>
                  <a:pt x="61" y="229"/>
                </a:lnTo>
                <a:lnTo>
                  <a:pt x="47" y="244"/>
                </a:lnTo>
                <a:lnTo>
                  <a:pt x="44" y="249"/>
                </a:lnTo>
                <a:lnTo>
                  <a:pt x="44" y="256"/>
                </a:lnTo>
                <a:lnTo>
                  <a:pt x="39" y="260"/>
                </a:lnTo>
                <a:lnTo>
                  <a:pt x="38" y="265"/>
                </a:lnTo>
                <a:lnTo>
                  <a:pt x="35" y="270"/>
                </a:lnTo>
                <a:lnTo>
                  <a:pt x="31" y="273"/>
                </a:lnTo>
                <a:lnTo>
                  <a:pt x="27" y="278"/>
                </a:lnTo>
                <a:lnTo>
                  <a:pt x="26" y="284"/>
                </a:lnTo>
                <a:lnTo>
                  <a:pt x="16" y="289"/>
                </a:lnTo>
                <a:lnTo>
                  <a:pt x="12" y="293"/>
                </a:lnTo>
                <a:lnTo>
                  <a:pt x="8" y="294"/>
                </a:lnTo>
                <a:lnTo>
                  <a:pt x="0" y="301"/>
                </a:lnTo>
                <a:lnTo>
                  <a:pt x="0" y="301"/>
                </a:lnTo>
                <a:lnTo>
                  <a:pt x="0" y="301"/>
                </a:lnTo>
                <a:close/>
              </a:path>
            </a:pathLst>
          </a:custGeom>
          <a:solidFill>
            <a:srgbClr val="E75936">
              <a:alpha val="5000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C0CCC8CB-AA52-4706-93E6-3657B9DE7FBD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45">
        <xdr:nvSpPr>
          <xdr:cNvPr id="477" name="TN">
            <a:extLst>
              <a:ext uri="{FF2B5EF4-FFF2-40B4-BE49-F238E27FC236}">
                <a16:creationId xmlns:a16="http://schemas.microsoft.com/office/drawing/2014/main" id="{00000000-0008-0000-0100-0000DD010000}"/>
              </a:ext>
            </a:extLst>
          </xdr:cNvPr>
          <xdr:cNvSpPr>
            <a:spLocks/>
          </xdr:cNvSpPr>
        </xdr:nvSpPr>
        <xdr:spPr bwMode="auto">
          <a:xfrm>
            <a:off x="4219526" y="3021252"/>
            <a:ext cx="710721" cy="247090"/>
          </a:xfrm>
          <a:custGeom>
            <a:avLst/>
            <a:gdLst>
              <a:gd name="T0" fmla="*/ 72 w 435"/>
              <a:gd name="T1" fmla="*/ 200 h 206"/>
              <a:gd name="T2" fmla="*/ 111 w 435"/>
              <a:gd name="T3" fmla="*/ 196 h 206"/>
              <a:gd name="T4" fmla="*/ 187 w 435"/>
              <a:gd name="T5" fmla="*/ 185 h 206"/>
              <a:gd name="T6" fmla="*/ 292 w 435"/>
              <a:gd name="T7" fmla="*/ 168 h 206"/>
              <a:gd name="T8" fmla="*/ 313 w 435"/>
              <a:gd name="T9" fmla="*/ 144 h 206"/>
              <a:gd name="T10" fmla="*/ 325 w 435"/>
              <a:gd name="T11" fmla="*/ 136 h 206"/>
              <a:gd name="T12" fmla="*/ 328 w 435"/>
              <a:gd name="T13" fmla="*/ 123 h 206"/>
              <a:gd name="T14" fmla="*/ 339 w 435"/>
              <a:gd name="T15" fmla="*/ 111 h 206"/>
              <a:gd name="T16" fmla="*/ 351 w 435"/>
              <a:gd name="T17" fmla="*/ 108 h 206"/>
              <a:gd name="T18" fmla="*/ 371 w 435"/>
              <a:gd name="T19" fmla="*/ 85 h 206"/>
              <a:gd name="T20" fmla="*/ 377 w 435"/>
              <a:gd name="T21" fmla="*/ 80 h 206"/>
              <a:gd name="T22" fmla="*/ 383 w 435"/>
              <a:gd name="T23" fmla="*/ 71 h 206"/>
              <a:gd name="T24" fmla="*/ 386 w 435"/>
              <a:gd name="T25" fmla="*/ 63 h 206"/>
              <a:gd name="T26" fmla="*/ 394 w 435"/>
              <a:gd name="T27" fmla="*/ 64 h 206"/>
              <a:gd name="T28" fmla="*/ 400 w 435"/>
              <a:gd name="T29" fmla="*/ 59 h 206"/>
              <a:gd name="T30" fmla="*/ 406 w 435"/>
              <a:gd name="T31" fmla="*/ 49 h 206"/>
              <a:gd name="T32" fmla="*/ 418 w 435"/>
              <a:gd name="T33" fmla="*/ 48 h 206"/>
              <a:gd name="T34" fmla="*/ 424 w 435"/>
              <a:gd name="T35" fmla="*/ 31 h 206"/>
              <a:gd name="T36" fmla="*/ 432 w 435"/>
              <a:gd name="T37" fmla="*/ 23 h 206"/>
              <a:gd name="T38" fmla="*/ 433 w 435"/>
              <a:gd name="T39" fmla="*/ 8 h 206"/>
              <a:gd name="T40" fmla="*/ 429 w 435"/>
              <a:gd name="T41" fmla="*/ 0 h 206"/>
              <a:gd name="T42" fmla="*/ 392 w 435"/>
              <a:gd name="T43" fmla="*/ 11 h 206"/>
              <a:gd name="T44" fmla="*/ 349 w 435"/>
              <a:gd name="T45" fmla="*/ 17 h 206"/>
              <a:gd name="T46" fmla="*/ 328 w 435"/>
              <a:gd name="T47" fmla="*/ 23 h 206"/>
              <a:gd name="T48" fmla="*/ 293 w 435"/>
              <a:gd name="T49" fmla="*/ 28 h 206"/>
              <a:gd name="T50" fmla="*/ 253 w 435"/>
              <a:gd name="T51" fmla="*/ 32 h 206"/>
              <a:gd name="T52" fmla="*/ 214 w 435"/>
              <a:gd name="T53" fmla="*/ 39 h 206"/>
              <a:gd name="T54" fmla="*/ 163 w 435"/>
              <a:gd name="T55" fmla="*/ 44 h 206"/>
              <a:gd name="T56" fmla="*/ 121 w 435"/>
              <a:gd name="T57" fmla="*/ 51 h 206"/>
              <a:gd name="T58" fmla="*/ 107 w 435"/>
              <a:gd name="T59" fmla="*/ 48 h 206"/>
              <a:gd name="T60" fmla="*/ 109 w 435"/>
              <a:gd name="T61" fmla="*/ 65 h 206"/>
              <a:gd name="T62" fmla="*/ 35 w 435"/>
              <a:gd name="T63" fmla="*/ 77 h 206"/>
              <a:gd name="T64" fmla="*/ 32 w 435"/>
              <a:gd name="T65" fmla="*/ 73 h 206"/>
              <a:gd name="T66" fmla="*/ 35 w 435"/>
              <a:gd name="T67" fmla="*/ 84 h 206"/>
              <a:gd name="T68" fmla="*/ 33 w 435"/>
              <a:gd name="T69" fmla="*/ 92 h 206"/>
              <a:gd name="T70" fmla="*/ 31 w 435"/>
              <a:gd name="T71" fmla="*/ 103 h 206"/>
              <a:gd name="T72" fmla="*/ 26 w 435"/>
              <a:gd name="T73" fmla="*/ 117 h 206"/>
              <a:gd name="T74" fmla="*/ 28 w 435"/>
              <a:gd name="T75" fmla="*/ 125 h 206"/>
              <a:gd name="T76" fmla="*/ 26 w 435"/>
              <a:gd name="T77" fmla="*/ 133 h 206"/>
              <a:gd name="T78" fmla="*/ 18 w 435"/>
              <a:gd name="T79" fmla="*/ 141 h 206"/>
              <a:gd name="T80" fmla="*/ 16 w 435"/>
              <a:gd name="T81" fmla="*/ 145 h 206"/>
              <a:gd name="T82" fmla="*/ 16 w 435"/>
              <a:gd name="T83" fmla="*/ 153 h 206"/>
              <a:gd name="T84" fmla="*/ 11 w 435"/>
              <a:gd name="T85" fmla="*/ 160 h 206"/>
              <a:gd name="T86" fmla="*/ 12 w 435"/>
              <a:gd name="T87" fmla="*/ 169 h 206"/>
              <a:gd name="T88" fmla="*/ 7 w 435"/>
              <a:gd name="T89" fmla="*/ 168 h 206"/>
              <a:gd name="T90" fmla="*/ 10 w 435"/>
              <a:gd name="T91" fmla="*/ 172 h 206"/>
              <a:gd name="T92" fmla="*/ 11 w 435"/>
              <a:gd name="T93" fmla="*/ 193 h 206"/>
              <a:gd name="T94" fmla="*/ 7 w 435"/>
              <a:gd name="T95" fmla="*/ 197 h 206"/>
              <a:gd name="T96" fmla="*/ 1 w 435"/>
              <a:gd name="T97" fmla="*/ 205 h 206"/>
              <a:gd name="T98" fmla="*/ 0 w 435"/>
              <a:gd name="T99" fmla="*/ 206 h 20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</a:cxnLst>
            <a:rect l="0" t="0" r="r" b="b"/>
            <a:pathLst>
              <a:path w="435" h="206">
                <a:moveTo>
                  <a:pt x="0" y="206"/>
                </a:moveTo>
                <a:lnTo>
                  <a:pt x="72" y="200"/>
                </a:lnTo>
                <a:lnTo>
                  <a:pt x="111" y="194"/>
                </a:lnTo>
                <a:lnTo>
                  <a:pt x="111" y="196"/>
                </a:lnTo>
                <a:lnTo>
                  <a:pt x="111" y="193"/>
                </a:lnTo>
                <a:lnTo>
                  <a:pt x="187" y="185"/>
                </a:lnTo>
                <a:lnTo>
                  <a:pt x="245" y="176"/>
                </a:lnTo>
                <a:lnTo>
                  <a:pt x="292" y="168"/>
                </a:lnTo>
                <a:lnTo>
                  <a:pt x="313" y="167"/>
                </a:lnTo>
                <a:lnTo>
                  <a:pt x="313" y="144"/>
                </a:lnTo>
                <a:lnTo>
                  <a:pt x="322" y="141"/>
                </a:lnTo>
                <a:lnTo>
                  <a:pt x="325" y="136"/>
                </a:lnTo>
                <a:lnTo>
                  <a:pt x="326" y="128"/>
                </a:lnTo>
                <a:lnTo>
                  <a:pt x="328" y="123"/>
                </a:lnTo>
                <a:lnTo>
                  <a:pt x="331" y="117"/>
                </a:lnTo>
                <a:lnTo>
                  <a:pt x="339" y="111"/>
                </a:lnTo>
                <a:lnTo>
                  <a:pt x="348" y="109"/>
                </a:lnTo>
                <a:lnTo>
                  <a:pt x="351" y="108"/>
                </a:lnTo>
                <a:lnTo>
                  <a:pt x="363" y="92"/>
                </a:lnTo>
                <a:lnTo>
                  <a:pt x="371" y="85"/>
                </a:lnTo>
                <a:lnTo>
                  <a:pt x="375" y="85"/>
                </a:lnTo>
                <a:lnTo>
                  <a:pt x="377" y="80"/>
                </a:lnTo>
                <a:lnTo>
                  <a:pt x="379" y="68"/>
                </a:lnTo>
                <a:lnTo>
                  <a:pt x="383" y="71"/>
                </a:lnTo>
                <a:lnTo>
                  <a:pt x="384" y="65"/>
                </a:lnTo>
                <a:lnTo>
                  <a:pt x="386" y="63"/>
                </a:lnTo>
                <a:lnTo>
                  <a:pt x="390" y="59"/>
                </a:lnTo>
                <a:lnTo>
                  <a:pt x="394" y="64"/>
                </a:lnTo>
                <a:lnTo>
                  <a:pt x="396" y="64"/>
                </a:lnTo>
                <a:lnTo>
                  <a:pt x="400" y="59"/>
                </a:lnTo>
                <a:lnTo>
                  <a:pt x="402" y="53"/>
                </a:lnTo>
                <a:lnTo>
                  <a:pt x="406" y="49"/>
                </a:lnTo>
                <a:lnTo>
                  <a:pt x="414" y="44"/>
                </a:lnTo>
                <a:lnTo>
                  <a:pt x="418" y="48"/>
                </a:lnTo>
                <a:lnTo>
                  <a:pt x="422" y="43"/>
                </a:lnTo>
                <a:lnTo>
                  <a:pt x="424" y="31"/>
                </a:lnTo>
                <a:lnTo>
                  <a:pt x="428" y="25"/>
                </a:lnTo>
                <a:lnTo>
                  <a:pt x="432" y="23"/>
                </a:lnTo>
                <a:lnTo>
                  <a:pt x="434" y="13"/>
                </a:lnTo>
                <a:lnTo>
                  <a:pt x="433" y="8"/>
                </a:lnTo>
                <a:lnTo>
                  <a:pt x="435" y="0"/>
                </a:lnTo>
                <a:lnTo>
                  <a:pt x="429" y="0"/>
                </a:lnTo>
                <a:lnTo>
                  <a:pt x="413" y="5"/>
                </a:lnTo>
                <a:lnTo>
                  <a:pt x="392" y="11"/>
                </a:lnTo>
                <a:lnTo>
                  <a:pt x="357" y="17"/>
                </a:lnTo>
                <a:lnTo>
                  <a:pt x="349" y="17"/>
                </a:lnTo>
                <a:lnTo>
                  <a:pt x="333" y="20"/>
                </a:lnTo>
                <a:lnTo>
                  <a:pt x="328" y="23"/>
                </a:lnTo>
                <a:lnTo>
                  <a:pt x="309" y="25"/>
                </a:lnTo>
                <a:lnTo>
                  <a:pt x="293" y="28"/>
                </a:lnTo>
                <a:lnTo>
                  <a:pt x="276" y="31"/>
                </a:lnTo>
                <a:lnTo>
                  <a:pt x="253" y="32"/>
                </a:lnTo>
                <a:lnTo>
                  <a:pt x="239" y="35"/>
                </a:lnTo>
                <a:lnTo>
                  <a:pt x="214" y="39"/>
                </a:lnTo>
                <a:lnTo>
                  <a:pt x="189" y="40"/>
                </a:lnTo>
                <a:lnTo>
                  <a:pt x="163" y="44"/>
                </a:lnTo>
                <a:lnTo>
                  <a:pt x="142" y="47"/>
                </a:lnTo>
                <a:lnTo>
                  <a:pt x="121" y="51"/>
                </a:lnTo>
                <a:lnTo>
                  <a:pt x="116" y="48"/>
                </a:lnTo>
                <a:lnTo>
                  <a:pt x="107" y="48"/>
                </a:lnTo>
                <a:lnTo>
                  <a:pt x="110" y="59"/>
                </a:lnTo>
                <a:lnTo>
                  <a:pt x="109" y="65"/>
                </a:lnTo>
                <a:lnTo>
                  <a:pt x="39" y="73"/>
                </a:lnTo>
                <a:lnTo>
                  <a:pt x="35" y="77"/>
                </a:lnTo>
                <a:lnTo>
                  <a:pt x="36" y="73"/>
                </a:lnTo>
                <a:lnTo>
                  <a:pt x="32" y="73"/>
                </a:lnTo>
                <a:lnTo>
                  <a:pt x="33" y="79"/>
                </a:lnTo>
                <a:lnTo>
                  <a:pt x="35" y="84"/>
                </a:lnTo>
                <a:lnTo>
                  <a:pt x="30" y="87"/>
                </a:lnTo>
                <a:lnTo>
                  <a:pt x="33" y="92"/>
                </a:lnTo>
                <a:lnTo>
                  <a:pt x="27" y="97"/>
                </a:lnTo>
                <a:lnTo>
                  <a:pt x="31" y="103"/>
                </a:lnTo>
                <a:lnTo>
                  <a:pt x="29" y="108"/>
                </a:lnTo>
                <a:lnTo>
                  <a:pt x="26" y="117"/>
                </a:lnTo>
                <a:lnTo>
                  <a:pt x="27" y="120"/>
                </a:lnTo>
                <a:lnTo>
                  <a:pt x="28" y="125"/>
                </a:lnTo>
                <a:lnTo>
                  <a:pt x="24" y="128"/>
                </a:lnTo>
                <a:lnTo>
                  <a:pt x="26" y="133"/>
                </a:lnTo>
                <a:lnTo>
                  <a:pt x="22" y="139"/>
                </a:lnTo>
                <a:lnTo>
                  <a:pt x="18" y="141"/>
                </a:lnTo>
                <a:lnTo>
                  <a:pt x="16" y="144"/>
                </a:lnTo>
                <a:lnTo>
                  <a:pt x="16" y="145"/>
                </a:lnTo>
                <a:lnTo>
                  <a:pt x="19" y="151"/>
                </a:lnTo>
                <a:lnTo>
                  <a:pt x="16" y="153"/>
                </a:lnTo>
                <a:lnTo>
                  <a:pt x="14" y="157"/>
                </a:lnTo>
                <a:lnTo>
                  <a:pt x="11" y="160"/>
                </a:lnTo>
                <a:lnTo>
                  <a:pt x="14" y="165"/>
                </a:lnTo>
                <a:lnTo>
                  <a:pt x="12" y="169"/>
                </a:lnTo>
                <a:lnTo>
                  <a:pt x="11" y="165"/>
                </a:lnTo>
                <a:lnTo>
                  <a:pt x="7" y="168"/>
                </a:lnTo>
                <a:lnTo>
                  <a:pt x="6" y="173"/>
                </a:lnTo>
                <a:lnTo>
                  <a:pt x="10" y="172"/>
                </a:lnTo>
                <a:lnTo>
                  <a:pt x="9" y="179"/>
                </a:lnTo>
                <a:lnTo>
                  <a:pt x="11" y="193"/>
                </a:lnTo>
                <a:lnTo>
                  <a:pt x="11" y="196"/>
                </a:lnTo>
                <a:lnTo>
                  <a:pt x="7" y="197"/>
                </a:lnTo>
                <a:lnTo>
                  <a:pt x="5" y="202"/>
                </a:lnTo>
                <a:lnTo>
                  <a:pt x="1" y="205"/>
                </a:lnTo>
                <a:lnTo>
                  <a:pt x="0" y="206"/>
                </a:lnTo>
                <a:lnTo>
                  <a:pt x="0" y="206"/>
                </a:lnTo>
                <a:lnTo>
                  <a:pt x="0" y="206"/>
                </a:lnTo>
                <a:close/>
              </a:path>
            </a:pathLst>
          </a:custGeom>
          <a:solidFill>
            <a:srgbClr val="E75936">
              <a:alpha val="16365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F66027ED-777F-41AC-9E88-42612ADF7A81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27">
        <xdr:nvSpPr>
          <xdr:cNvPr id="468" name="MO">
            <a:extLst>
              <a:ext uri="{FF2B5EF4-FFF2-40B4-BE49-F238E27FC236}">
                <a16:creationId xmlns:a16="http://schemas.microsoft.com/office/drawing/2014/main" id="{00000000-0008-0000-0100-0000D4010000}"/>
              </a:ext>
            </a:extLst>
          </xdr:cNvPr>
          <xdr:cNvSpPr>
            <a:spLocks/>
          </xdr:cNvSpPr>
        </xdr:nvSpPr>
        <xdr:spPr bwMode="auto">
          <a:xfrm>
            <a:off x="3757283" y="2697962"/>
            <a:ext cx="557493" cy="470647"/>
          </a:xfrm>
          <a:custGeom>
            <a:avLst/>
            <a:gdLst>
              <a:gd name="T0" fmla="*/ 0 w 343"/>
              <a:gd name="T1" fmla="*/ 17 h 397"/>
              <a:gd name="T2" fmla="*/ 6 w 343"/>
              <a:gd name="T3" fmla="*/ 33 h 397"/>
              <a:gd name="T4" fmla="*/ 14 w 343"/>
              <a:gd name="T5" fmla="*/ 43 h 397"/>
              <a:gd name="T6" fmla="*/ 18 w 343"/>
              <a:gd name="T7" fmla="*/ 53 h 397"/>
              <a:gd name="T8" fmla="*/ 22 w 343"/>
              <a:gd name="T9" fmla="*/ 64 h 397"/>
              <a:gd name="T10" fmla="*/ 38 w 343"/>
              <a:gd name="T11" fmla="*/ 72 h 397"/>
              <a:gd name="T12" fmla="*/ 43 w 343"/>
              <a:gd name="T13" fmla="*/ 79 h 397"/>
              <a:gd name="T14" fmla="*/ 44 w 343"/>
              <a:gd name="T15" fmla="*/ 87 h 397"/>
              <a:gd name="T16" fmla="*/ 38 w 343"/>
              <a:gd name="T17" fmla="*/ 92 h 397"/>
              <a:gd name="T18" fmla="*/ 35 w 343"/>
              <a:gd name="T19" fmla="*/ 105 h 397"/>
              <a:gd name="T20" fmla="*/ 43 w 343"/>
              <a:gd name="T21" fmla="*/ 117 h 397"/>
              <a:gd name="T22" fmla="*/ 50 w 343"/>
              <a:gd name="T23" fmla="*/ 133 h 397"/>
              <a:gd name="T24" fmla="*/ 58 w 343"/>
              <a:gd name="T25" fmla="*/ 139 h 397"/>
              <a:gd name="T26" fmla="*/ 62 w 343"/>
              <a:gd name="T27" fmla="*/ 367 h 397"/>
              <a:gd name="T28" fmla="*/ 195 w 343"/>
              <a:gd name="T29" fmla="*/ 360 h 397"/>
              <a:gd name="T30" fmla="*/ 292 w 343"/>
              <a:gd name="T31" fmla="*/ 356 h 397"/>
              <a:gd name="T32" fmla="*/ 297 w 343"/>
              <a:gd name="T33" fmla="*/ 367 h 397"/>
              <a:gd name="T34" fmla="*/ 293 w 343"/>
              <a:gd name="T35" fmla="*/ 377 h 397"/>
              <a:gd name="T36" fmla="*/ 286 w 343"/>
              <a:gd name="T37" fmla="*/ 387 h 397"/>
              <a:gd name="T38" fmla="*/ 286 w 343"/>
              <a:gd name="T39" fmla="*/ 397 h 397"/>
              <a:gd name="T40" fmla="*/ 319 w 343"/>
              <a:gd name="T41" fmla="*/ 384 h 397"/>
              <a:gd name="T42" fmla="*/ 317 w 343"/>
              <a:gd name="T43" fmla="*/ 373 h 397"/>
              <a:gd name="T44" fmla="*/ 320 w 343"/>
              <a:gd name="T45" fmla="*/ 363 h 397"/>
              <a:gd name="T46" fmla="*/ 323 w 343"/>
              <a:gd name="T47" fmla="*/ 355 h 397"/>
              <a:gd name="T48" fmla="*/ 324 w 343"/>
              <a:gd name="T49" fmla="*/ 344 h 397"/>
              <a:gd name="T50" fmla="*/ 325 w 343"/>
              <a:gd name="T51" fmla="*/ 353 h 397"/>
              <a:gd name="T52" fmla="*/ 330 w 343"/>
              <a:gd name="T53" fmla="*/ 341 h 397"/>
              <a:gd name="T54" fmla="*/ 339 w 343"/>
              <a:gd name="T55" fmla="*/ 341 h 397"/>
              <a:gd name="T56" fmla="*/ 339 w 343"/>
              <a:gd name="T57" fmla="*/ 328 h 397"/>
              <a:gd name="T58" fmla="*/ 342 w 343"/>
              <a:gd name="T59" fmla="*/ 316 h 397"/>
              <a:gd name="T60" fmla="*/ 342 w 343"/>
              <a:gd name="T61" fmla="*/ 305 h 397"/>
              <a:gd name="T62" fmla="*/ 332 w 343"/>
              <a:gd name="T63" fmla="*/ 304 h 397"/>
              <a:gd name="T64" fmla="*/ 320 w 343"/>
              <a:gd name="T65" fmla="*/ 281 h 397"/>
              <a:gd name="T66" fmla="*/ 324 w 343"/>
              <a:gd name="T67" fmla="*/ 269 h 397"/>
              <a:gd name="T68" fmla="*/ 318 w 343"/>
              <a:gd name="T69" fmla="*/ 247 h 397"/>
              <a:gd name="T70" fmla="*/ 310 w 343"/>
              <a:gd name="T71" fmla="*/ 241 h 397"/>
              <a:gd name="T72" fmla="*/ 300 w 343"/>
              <a:gd name="T73" fmla="*/ 229 h 397"/>
              <a:gd name="T74" fmla="*/ 295 w 343"/>
              <a:gd name="T75" fmla="*/ 225 h 397"/>
              <a:gd name="T76" fmla="*/ 280 w 343"/>
              <a:gd name="T77" fmla="*/ 213 h 397"/>
              <a:gd name="T78" fmla="*/ 272 w 343"/>
              <a:gd name="T79" fmla="*/ 197 h 397"/>
              <a:gd name="T80" fmla="*/ 275 w 343"/>
              <a:gd name="T81" fmla="*/ 187 h 397"/>
              <a:gd name="T82" fmla="*/ 280 w 343"/>
              <a:gd name="T83" fmla="*/ 168 h 397"/>
              <a:gd name="T84" fmla="*/ 282 w 343"/>
              <a:gd name="T85" fmla="*/ 152 h 397"/>
              <a:gd name="T86" fmla="*/ 274 w 343"/>
              <a:gd name="T87" fmla="*/ 143 h 397"/>
              <a:gd name="T88" fmla="*/ 266 w 343"/>
              <a:gd name="T89" fmla="*/ 140 h 397"/>
              <a:gd name="T90" fmla="*/ 262 w 343"/>
              <a:gd name="T91" fmla="*/ 145 h 397"/>
              <a:gd name="T92" fmla="*/ 254 w 343"/>
              <a:gd name="T93" fmla="*/ 141 h 397"/>
              <a:gd name="T94" fmla="*/ 247 w 343"/>
              <a:gd name="T95" fmla="*/ 112 h 397"/>
              <a:gd name="T96" fmla="*/ 233 w 343"/>
              <a:gd name="T97" fmla="*/ 100 h 397"/>
              <a:gd name="T98" fmla="*/ 227 w 343"/>
              <a:gd name="T99" fmla="*/ 91 h 397"/>
              <a:gd name="T100" fmla="*/ 217 w 343"/>
              <a:gd name="T101" fmla="*/ 79 h 397"/>
              <a:gd name="T102" fmla="*/ 214 w 343"/>
              <a:gd name="T103" fmla="*/ 68 h 397"/>
              <a:gd name="T104" fmla="*/ 210 w 343"/>
              <a:gd name="T105" fmla="*/ 55 h 397"/>
              <a:gd name="T106" fmla="*/ 208 w 343"/>
              <a:gd name="T107" fmla="*/ 32 h 397"/>
              <a:gd name="T108" fmla="*/ 211 w 343"/>
              <a:gd name="T109" fmla="*/ 21 h 397"/>
              <a:gd name="T110" fmla="*/ 206 w 343"/>
              <a:gd name="T111" fmla="*/ 15 h 397"/>
              <a:gd name="T112" fmla="*/ 195 w 343"/>
              <a:gd name="T113" fmla="*/ 0 h 397"/>
              <a:gd name="T114" fmla="*/ 88 w 343"/>
              <a:gd name="T115" fmla="*/ 11 h 397"/>
              <a:gd name="T116" fmla="*/ 0 w 343"/>
              <a:gd name="T117" fmla="*/ 12 h 397"/>
              <a:gd name="T118" fmla="*/ 0 w 343"/>
              <a:gd name="T119" fmla="*/ 12 h 39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</a:cxnLst>
            <a:rect l="0" t="0" r="r" b="b"/>
            <a:pathLst>
              <a:path w="343" h="397">
                <a:moveTo>
                  <a:pt x="0" y="12"/>
                </a:moveTo>
                <a:lnTo>
                  <a:pt x="0" y="17"/>
                </a:lnTo>
                <a:lnTo>
                  <a:pt x="3" y="23"/>
                </a:lnTo>
                <a:lnTo>
                  <a:pt x="6" y="33"/>
                </a:lnTo>
                <a:lnTo>
                  <a:pt x="10" y="39"/>
                </a:lnTo>
                <a:lnTo>
                  <a:pt x="14" y="43"/>
                </a:lnTo>
                <a:lnTo>
                  <a:pt x="14" y="48"/>
                </a:lnTo>
                <a:lnTo>
                  <a:pt x="18" y="53"/>
                </a:lnTo>
                <a:lnTo>
                  <a:pt x="17" y="59"/>
                </a:lnTo>
                <a:lnTo>
                  <a:pt x="22" y="64"/>
                </a:lnTo>
                <a:lnTo>
                  <a:pt x="34" y="76"/>
                </a:lnTo>
                <a:lnTo>
                  <a:pt x="38" y="72"/>
                </a:lnTo>
                <a:lnTo>
                  <a:pt x="41" y="73"/>
                </a:lnTo>
                <a:lnTo>
                  <a:pt x="43" y="79"/>
                </a:lnTo>
                <a:lnTo>
                  <a:pt x="44" y="85"/>
                </a:lnTo>
                <a:lnTo>
                  <a:pt x="44" y="87"/>
                </a:lnTo>
                <a:lnTo>
                  <a:pt x="40" y="87"/>
                </a:lnTo>
                <a:lnTo>
                  <a:pt x="38" y="92"/>
                </a:lnTo>
                <a:lnTo>
                  <a:pt x="33" y="100"/>
                </a:lnTo>
                <a:lnTo>
                  <a:pt x="35" y="105"/>
                </a:lnTo>
                <a:lnTo>
                  <a:pt x="39" y="113"/>
                </a:lnTo>
                <a:lnTo>
                  <a:pt x="43" y="117"/>
                </a:lnTo>
                <a:lnTo>
                  <a:pt x="43" y="123"/>
                </a:lnTo>
                <a:lnTo>
                  <a:pt x="50" y="133"/>
                </a:lnTo>
                <a:lnTo>
                  <a:pt x="53" y="135"/>
                </a:lnTo>
                <a:lnTo>
                  <a:pt x="58" y="139"/>
                </a:lnTo>
                <a:lnTo>
                  <a:pt x="61" y="324"/>
                </a:lnTo>
                <a:lnTo>
                  <a:pt x="62" y="367"/>
                </a:lnTo>
                <a:lnTo>
                  <a:pt x="113" y="365"/>
                </a:lnTo>
                <a:lnTo>
                  <a:pt x="195" y="360"/>
                </a:lnTo>
                <a:lnTo>
                  <a:pt x="288" y="352"/>
                </a:lnTo>
                <a:lnTo>
                  <a:pt x="292" y="356"/>
                </a:lnTo>
                <a:lnTo>
                  <a:pt x="295" y="361"/>
                </a:lnTo>
                <a:lnTo>
                  <a:pt x="297" y="367"/>
                </a:lnTo>
                <a:lnTo>
                  <a:pt x="297" y="372"/>
                </a:lnTo>
                <a:lnTo>
                  <a:pt x="293" y="377"/>
                </a:lnTo>
                <a:lnTo>
                  <a:pt x="289" y="380"/>
                </a:lnTo>
                <a:lnTo>
                  <a:pt x="286" y="387"/>
                </a:lnTo>
                <a:lnTo>
                  <a:pt x="284" y="392"/>
                </a:lnTo>
                <a:lnTo>
                  <a:pt x="286" y="397"/>
                </a:lnTo>
                <a:lnTo>
                  <a:pt x="316" y="393"/>
                </a:lnTo>
                <a:lnTo>
                  <a:pt x="319" y="384"/>
                </a:lnTo>
                <a:lnTo>
                  <a:pt x="321" y="379"/>
                </a:lnTo>
                <a:lnTo>
                  <a:pt x="317" y="373"/>
                </a:lnTo>
                <a:lnTo>
                  <a:pt x="323" y="368"/>
                </a:lnTo>
                <a:lnTo>
                  <a:pt x="320" y="363"/>
                </a:lnTo>
                <a:lnTo>
                  <a:pt x="325" y="360"/>
                </a:lnTo>
                <a:lnTo>
                  <a:pt x="323" y="355"/>
                </a:lnTo>
                <a:lnTo>
                  <a:pt x="322" y="349"/>
                </a:lnTo>
                <a:lnTo>
                  <a:pt x="324" y="344"/>
                </a:lnTo>
                <a:lnTo>
                  <a:pt x="326" y="349"/>
                </a:lnTo>
                <a:lnTo>
                  <a:pt x="325" y="353"/>
                </a:lnTo>
                <a:lnTo>
                  <a:pt x="329" y="349"/>
                </a:lnTo>
                <a:lnTo>
                  <a:pt x="330" y="341"/>
                </a:lnTo>
                <a:lnTo>
                  <a:pt x="335" y="339"/>
                </a:lnTo>
                <a:lnTo>
                  <a:pt x="339" y="341"/>
                </a:lnTo>
                <a:lnTo>
                  <a:pt x="341" y="333"/>
                </a:lnTo>
                <a:lnTo>
                  <a:pt x="339" y="328"/>
                </a:lnTo>
                <a:lnTo>
                  <a:pt x="343" y="324"/>
                </a:lnTo>
                <a:lnTo>
                  <a:pt x="342" y="316"/>
                </a:lnTo>
                <a:lnTo>
                  <a:pt x="342" y="309"/>
                </a:lnTo>
                <a:lnTo>
                  <a:pt x="342" y="305"/>
                </a:lnTo>
                <a:lnTo>
                  <a:pt x="336" y="301"/>
                </a:lnTo>
                <a:lnTo>
                  <a:pt x="332" y="304"/>
                </a:lnTo>
                <a:lnTo>
                  <a:pt x="325" y="292"/>
                </a:lnTo>
                <a:lnTo>
                  <a:pt x="320" y="281"/>
                </a:lnTo>
                <a:lnTo>
                  <a:pt x="323" y="276"/>
                </a:lnTo>
                <a:lnTo>
                  <a:pt x="324" y="269"/>
                </a:lnTo>
                <a:lnTo>
                  <a:pt x="319" y="259"/>
                </a:lnTo>
                <a:lnTo>
                  <a:pt x="318" y="247"/>
                </a:lnTo>
                <a:lnTo>
                  <a:pt x="314" y="244"/>
                </a:lnTo>
                <a:lnTo>
                  <a:pt x="310" y="241"/>
                </a:lnTo>
                <a:lnTo>
                  <a:pt x="307" y="235"/>
                </a:lnTo>
                <a:lnTo>
                  <a:pt x="300" y="229"/>
                </a:lnTo>
                <a:lnTo>
                  <a:pt x="296" y="232"/>
                </a:lnTo>
                <a:lnTo>
                  <a:pt x="295" y="225"/>
                </a:lnTo>
                <a:lnTo>
                  <a:pt x="293" y="225"/>
                </a:lnTo>
                <a:lnTo>
                  <a:pt x="280" y="213"/>
                </a:lnTo>
                <a:lnTo>
                  <a:pt x="273" y="203"/>
                </a:lnTo>
                <a:lnTo>
                  <a:pt x="272" y="197"/>
                </a:lnTo>
                <a:lnTo>
                  <a:pt x="272" y="192"/>
                </a:lnTo>
                <a:lnTo>
                  <a:pt x="275" y="187"/>
                </a:lnTo>
                <a:lnTo>
                  <a:pt x="277" y="176"/>
                </a:lnTo>
                <a:lnTo>
                  <a:pt x="280" y="168"/>
                </a:lnTo>
                <a:lnTo>
                  <a:pt x="279" y="159"/>
                </a:lnTo>
                <a:lnTo>
                  <a:pt x="282" y="152"/>
                </a:lnTo>
                <a:lnTo>
                  <a:pt x="282" y="149"/>
                </a:lnTo>
                <a:lnTo>
                  <a:pt x="274" y="143"/>
                </a:lnTo>
                <a:lnTo>
                  <a:pt x="270" y="141"/>
                </a:lnTo>
                <a:lnTo>
                  <a:pt x="266" y="140"/>
                </a:lnTo>
                <a:lnTo>
                  <a:pt x="264" y="140"/>
                </a:lnTo>
                <a:lnTo>
                  <a:pt x="262" y="145"/>
                </a:lnTo>
                <a:lnTo>
                  <a:pt x="257" y="147"/>
                </a:lnTo>
                <a:lnTo>
                  <a:pt x="254" y="141"/>
                </a:lnTo>
                <a:lnTo>
                  <a:pt x="250" y="117"/>
                </a:lnTo>
                <a:lnTo>
                  <a:pt x="247" y="112"/>
                </a:lnTo>
                <a:lnTo>
                  <a:pt x="243" y="108"/>
                </a:lnTo>
                <a:lnTo>
                  <a:pt x="233" y="100"/>
                </a:lnTo>
                <a:lnTo>
                  <a:pt x="231" y="95"/>
                </a:lnTo>
                <a:lnTo>
                  <a:pt x="227" y="91"/>
                </a:lnTo>
                <a:lnTo>
                  <a:pt x="223" y="84"/>
                </a:lnTo>
                <a:lnTo>
                  <a:pt x="217" y="79"/>
                </a:lnTo>
                <a:lnTo>
                  <a:pt x="216" y="73"/>
                </a:lnTo>
                <a:lnTo>
                  <a:pt x="214" y="68"/>
                </a:lnTo>
                <a:lnTo>
                  <a:pt x="211" y="57"/>
                </a:lnTo>
                <a:lnTo>
                  <a:pt x="210" y="55"/>
                </a:lnTo>
                <a:lnTo>
                  <a:pt x="208" y="43"/>
                </a:lnTo>
                <a:lnTo>
                  <a:pt x="208" y="32"/>
                </a:lnTo>
                <a:lnTo>
                  <a:pt x="209" y="27"/>
                </a:lnTo>
                <a:lnTo>
                  <a:pt x="211" y="21"/>
                </a:lnTo>
                <a:lnTo>
                  <a:pt x="209" y="20"/>
                </a:lnTo>
                <a:lnTo>
                  <a:pt x="206" y="15"/>
                </a:lnTo>
                <a:lnTo>
                  <a:pt x="198" y="7"/>
                </a:lnTo>
                <a:lnTo>
                  <a:pt x="195" y="0"/>
                </a:lnTo>
                <a:lnTo>
                  <a:pt x="163" y="5"/>
                </a:lnTo>
                <a:lnTo>
                  <a:pt x="88" y="11"/>
                </a:lnTo>
                <a:lnTo>
                  <a:pt x="54" y="12"/>
                </a:lnTo>
                <a:lnTo>
                  <a:pt x="0" y="12"/>
                </a:lnTo>
                <a:lnTo>
                  <a:pt x="0" y="12"/>
                </a:lnTo>
                <a:lnTo>
                  <a:pt x="0" y="12"/>
                </a:lnTo>
                <a:close/>
              </a:path>
            </a:pathLst>
          </a:custGeom>
          <a:solidFill>
            <a:srgbClr val="E75936">
              <a:alpha val="76522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1E84E9FB-773D-4B69-BE05-35FBBE6FA041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17">
        <xdr:nvSpPr>
          <xdr:cNvPr id="467" name="IA">
            <a:extLst>
              <a:ext uri="{FF2B5EF4-FFF2-40B4-BE49-F238E27FC236}">
                <a16:creationId xmlns:a16="http://schemas.microsoft.com/office/drawing/2014/main" id="{00000000-0008-0000-0100-0000D3010000}"/>
              </a:ext>
            </a:extLst>
          </xdr:cNvPr>
          <xdr:cNvSpPr>
            <a:spLocks/>
          </xdr:cNvSpPr>
        </xdr:nvSpPr>
        <xdr:spPr bwMode="auto">
          <a:xfrm>
            <a:off x="3681083" y="2393723"/>
            <a:ext cx="514350" cy="323289"/>
          </a:xfrm>
          <a:custGeom>
            <a:avLst/>
            <a:gdLst>
              <a:gd name="T0" fmla="*/ 12 w 311"/>
              <a:gd name="T1" fmla="*/ 97 h 270"/>
              <a:gd name="T2" fmla="*/ 11 w 311"/>
              <a:gd name="T3" fmla="*/ 107 h 270"/>
              <a:gd name="T4" fmla="*/ 15 w 311"/>
              <a:gd name="T5" fmla="*/ 119 h 270"/>
              <a:gd name="T6" fmla="*/ 18 w 311"/>
              <a:gd name="T7" fmla="*/ 129 h 270"/>
              <a:gd name="T8" fmla="*/ 24 w 311"/>
              <a:gd name="T9" fmla="*/ 144 h 270"/>
              <a:gd name="T10" fmla="*/ 27 w 311"/>
              <a:gd name="T11" fmla="*/ 155 h 270"/>
              <a:gd name="T12" fmla="*/ 27 w 311"/>
              <a:gd name="T13" fmla="*/ 165 h 270"/>
              <a:gd name="T14" fmla="*/ 28 w 311"/>
              <a:gd name="T15" fmla="*/ 177 h 270"/>
              <a:gd name="T16" fmla="*/ 31 w 311"/>
              <a:gd name="T17" fmla="*/ 178 h 270"/>
              <a:gd name="T18" fmla="*/ 35 w 311"/>
              <a:gd name="T19" fmla="*/ 186 h 270"/>
              <a:gd name="T20" fmla="*/ 37 w 311"/>
              <a:gd name="T21" fmla="*/ 198 h 270"/>
              <a:gd name="T22" fmla="*/ 39 w 311"/>
              <a:gd name="T23" fmla="*/ 210 h 270"/>
              <a:gd name="T24" fmla="*/ 38 w 311"/>
              <a:gd name="T25" fmla="*/ 224 h 270"/>
              <a:gd name="T26" fmla="*/ 38 w 311"/>
              <a:gd name="T27" fmla="*/ 252 h 270"/>
              <a:gd name="T28" fmla="*/ 44 w 311"/>
              <a:gd name="T29" fmla="*/ 261 h 270"/>
              <a:gd name="T30" fmla="*/ 132 w 311"/>
              <a:gd name="T31" fmla="*/ 260 h 270"/>
              <a:gd name="T32" fmla="*/ 239 w 311"/>
              <a:gd name="T33" fmla="*/ 249 h 270"/>
              <a:gd name="T34" fmla="*/ 250 w 311"/>
              <a:gd name="T35" fmla="*/ 264 h 270"/>
              <a:gd name="T36" fmla="*/ 255 w 311"/>
              <a:gd name="T37" fmla="*/ 270 h 270"/>
              <a:gd name="T38" fmla="*/ 258 w 311"/>
              <a:gd name="T39" fmla="*/ 261 h 270"/>
              <a:gd name="T40" fmla="*/ 259 w 311"/>
              <a:gd name="T41" fmla="*/ 250 h 270"/>
              <a:gd name="T42" fmla="*/ 270 w 311"/>
              <a:gd name="T43" fmla="*/ 238 h 270"/>
              <a:gd name="T44" fmla="*/ 270 w 311"/>
              <a:gd name="T45" fmla="*/ 229 h 270"/>
              <a:gd name="T46" fmla="*/ 276 w 311"/>
              <a:gd name="T47" fmla="*/ 206 h 270"/>
              <a:gd name="T48" fmla="*/ 269 w 311"/>
              <a:gd name="T49" fmla="*/ 184 h 270"/>
              <a:gd name="T50" fmla="*/ 286 w 311"/>
              <a:gd name="T51" fmla="*/ 174 h 270"/>
              <a:gd name="T52" fmla="*/ 299 w 311"/>
              <a:gd name="T53" fmla="*/ 165 h 270"/>
              <a:gd name="T54" fmla="*/ 304 w 311"/>
              <a:gd name="T55" fmla="*/ 149 h 270"/>
              <a:gd name="T56" fmla="*/ 311 w 311"/>
              <a:gd name="T57" fmla="*/ 123 h 270"/>
              <a:gd name="T58" fmla="*/ 305 w 311"/>
              <a:gd name="T59" fmla="*/ 111 h 270"/>
              <a:gd name="T60" fmla="*/ 297 w 311"/>
              <a:gd name="T61" fmla="*/ 104 h 270"/>
              <a:gd name="T62" fmla="*/ 288 w 311"/>
              <a:gd name="T63" fmla="*/ 88 h 270"/>
              <a:gd name="T64" fmla="*/ 285 w 311"/>
              <a:gd name="T65" fmla="*/ 83 h 270"/>
              <a:gd name="T66" fmla="*/ 269 w 311"/>
              <a:gd name="T67" fmla="*/ 68 h 270"/>
              <a:gd name="T68" fmla="*/ 263 w 311"/>
              <a:gd name="T69" fmla="*/ 60 h 270"/>
              <a:gd name="T70" fmla="*/ 259 w 311"/>
              <a:gd name="T71" fmla="*/ 48 h 270"/>
              <a:gd name="T72" fmla="*/ 257 w 311"/>
              <a:gd name="T73" fmla="*/ 29 h 270"/>
              <a:gd name="T74" fmla="*/ 259 w 311"/>
              <a:gd name="T75" fmla="*/ 13 h 270"/>
              <a:gd name="T76" fmla="*/ 254 w 311"/>
              <a:gd name="T77" fmla="*/ 5 h 270"/>
              <a:gd name="T78" fmla="*/ 253 w 311"/>
              <a:gd name="T79" fmla="*/ 0 h 270"/>
              <a:gd name="T80" fmla="*/ 138 w 311"/>
              <a:gd name="T81" fmla="*/ 7 h 270"/>
              <a:gd name="T82" fmla="*/ 9 w 311"/>
              <a:gd name="T83" fmla="*/ 11 h 270"/>
              <a:gd name="T84" fmla="*/ 2 w 311"/>
              <a:gd name="T85" fmla="*/ 16 h 270"/>
              <a:gd name="T86" fmla="*/ 4 w 311"/>
              <a:gd name="T87" fmla="*/ 28 h 270"/>
              <a:gd name="T88" fmla="*/ 3 w 311"/>
              <a:gd name="T89" fmla="*/ 35 h 270"/>
              <a:gd name="T90" fmla="*/ 9 w 311"/>
              <a:gd name="T91" fmla="*/ 45 h 270"/>
              <a:gd name="T92" fmla="*/ 7 w 311"/>
              <a:gd name="T93" fmla="*/ 56 h 270"/>
              <a:gd name="T94" fmla="*/ 2 w 311"/>
              <a:gd name="T95" fmla="*/ 68 h 270"/>
              <a:gd name="T96" fmla="*/ 1 w 311"/>
              <a:gd name="T97" fmla="*/ 79 h 270"/>
              <a:gd name="T98" fmla="*/ 8 w 311"/>
              <a:gd name="T99" fmla="*/ 96 h 270"/>
              <a:gd name="T100" fmla="*/ 8 w 311"/>
              <a:gd name="T101" fmla="*/ 96 h 27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</a:cxnLst>
            <a:rect l="0" t="0" r="r" b="b"/>
            <a:pathLst>
              <a:path w="311" h="270">
                <a:moveTo>
                  <a:pt x="8" y="96"/>
                </a:moveTo>
                <a:lnTo>
                  <a:pt x="12" y="97"/>
                </a:lnTo>
                <a:lnTo>
                  <a:pt x="12" y="103"/>
                </a:lnTo>
                <a:lnTo>
                  <a:pt x="11" y="107"/>
                </a:lnTo>
                <a:lnTo>
                  <a:pt x="14" y="113"/>
                </a:lnTo>
                <a:lnTo>
                  <a:pt x="15" y="119"/>
                </a:lnTo>
                <a:lnTo>
                  <a:pt x="15" y="124"/>
                </a:lnTo>
                <a:lnTo>
                  <a:pt x="18" y="129"/>
                </a:lnTo>
                <a:lnTo>
                  <a:pt x="19" y="135"/>
                </a:lnTo>
                <a:lnTo>
                  <a:pt x="24" y="144"/>
                </a:lnTo>
                <a:lnTo>
                  <a:pt x="24" y="149"/>
                </a:lnTo>
                <a:lnTo>
                  <a:pt x="27" y="155"/>
                </a:lnTo>
                <a:lnTo>
                  <a:pt x="28" y="160"/>
                </a:lnTo>
                <a:lnTo>
                  <a:pt x="27" y="165"/>
                </a:lnTo>
                <a:lnTo>
                  <a:pt x="27" y="172"/>
                </a:lnTo>
                <a:lnTo>
                  <a:pt x="28" y="177"/>
                </a:lnTo>
                <a:lnTo>
                  <a:pt x="27" y="178"/>
                </a:lnTo>
                <a:lnTo>
                  <a:pt x="31" y="178"/>
                </a:lnTo>
                <a:lnTo>
                  <a:pt x="31" y="184"/>
                </a:lnTo>
                <a:lnTo>
                  <a:pt x="35" y="186"/>
                </a:lnTo>
                <a:lnTo>
                  <a:pt x="34" y="193"/>
                </a:lnTo>
                <a:lnTo>
                  <a:pt x="37" y="198"/>
                </a:lnTo>
                <a:lnTo>
                  <a:pt x="36" y="205"/>
                </a:lnTo>
                <a:lnTo>
                  <a:pt x="39" y="210"/>
                </a:lnTo>
                <a:lnTo>
                  <a:pt x="38" y="217"/>
                </a:lnTo>
                <a:lnTo>
                  <a:pt x="38" y="224"/>
                </a:lnTo>
                <a:lnTo>
                  <a:pt x="40" y="236"/>
                </a:lnTo>
                <a:lnTo>
                  <a:pt x="38" y="252"/>
                </a:lnTo>
                <a:lnTo>
                  <a:pt x="42" y="256"/>
                </a:lnTo>
                <a:lnTo>
                  <a:pt x="44" y="261"/>
                </a:lnTo>
                <a:lnTo>
                  <a:pt x="98" y="261"/>
                </a:lnTo>
                <a:lnTo>
                  <a:pt x="132" y="260"/>
                </a:lnTo>
                <a:lnTo>
                  <a:pt x="207" y="254"/>
                </a:lnTo>
                <a:lnTo>
                  <a:pt x="239" y="249"/>
                </a:lnTo>
                <a:lnTo>
                  <a:pt x="242" y="256"/>
                </a:lnTo>
                <a:lnTo>
                  <a:pt x="250" y="264"/>
                </a:lnTo>
                <a:lnTo>
                  <a:pt x="253" y="269"/>
                </a:lnTo>
                <a:lnTo>
                  <a:pt x="255" y="270"/>
                </a:lnTo>
                <a:lnTo>
                  <a:pt x="258" y="266"/>
                </a:lnTo>
                <a:lnTo>
                  <a:pt x="258" y="261"/>
                </a:lnTo>
                <a:lnTo>
                  <a:pt x="255" y="256"/>
                </a:lnTo>
                <a:lnTo>
                  <a:pt x="259" y="250"/>
                </a:lnTo>
                <a:lnTo>
                  <a:pt x="268" y="244"/>
                </a:lnTo>
                <a:lnTo>
                  <a:pt x="270" y="238"/>
                </a:lnTo>
                <a:lnTo>
                  <a:pt x="270" y="232"/>
                </a:lnTo>
                <a:lnTo>
                  <a:pt x="270" y="229"/>
                </a:lnTo>
                <a:lnTo>
                  <a:pt x="276" y="218"/>
                </a:lnTo>
                <a:lnTo>
                  <a:pt x="276" y="206"/>
                </a:lnTo>
                <a:lnTo>
                  <a:pt x="268" y="196"/>
                </a:lnTo>
                <a:lnTo>
                  <a:pt x="269" y="184"/>
                </a:lnTo>
                <a:lnTo>
                  <a:pt x="271" y="178"/>
                </a:lnTo>
                <a:lnTo>
                  <a:pt x="286" y="174"/>
                </a:lnTo>
                <a:lnTo>
                  <a:pt x="290" y="170"/>
                </a:lnTo>
                <a:lnTo>
                  <a:pt x="299" y="165"/>
                </a:lnTo>
                <a:lnTo>
                  <a:pt x="303" y="161"/>
                </a:lnTo>
                <a:lnTo>
                  <a:pt x="304" y="149"/>
                </a:lnTo>
                <a:lnTo>
                  <a:pt x="309" y="140"/>
                </a:lnTo>
                <a:lnTo>
                  <a:pt x="311" y="123"/>
                </a:lnTo>
                <a:lnTo>
                  <a:pt x="309" y="116"/>
                </a:lnTo>
                <a:lnTo>
                  <a:pt x="305" y="111"/>
                </a:lnTo>
                <a:lnTo>
                  <a:pt x="301" y="108"/>
                </a:lnTo>
                <a:lnTo>
                  <a:pt x="297" y="104"/>
                </a:lnTo>
                <a:lnTo>
                  <a:pt x="296" y="97"/>
                </a:lnTo>
                <a:lnTo>
                  <a:pt x="288" y="88"/>
                </a:lnTo>
                <a:lnTo>
                  <a:pt x="284" y="84"/>
                </a:lnTo>
                <a:lnTo>
                  <a:pt x="285" y="83"/>
                </a:lnTo>
                <a:lnTo>
                  <a:pt x="282" y="72"/>
                </a:lnTo>
                <a:lnTo>
                  <a:pt x="269" y="68"/>
                </a:lnTo>
                <a:lnTo>
                  <a:pt x="265" y="65"/>
                </a:lnTo>
                <a:lnTo>
                  <a:pt x="263" y="60"/>
                </a:lnTo>
                <a:lnTo>
                  <a:pt x="262" y="53"/>
                </a:lnTo>
                <a:lnTo>
                  <a:pt x="259" y="48"/>
                </a:lnTo>
                <a:lnTo>
                  <a:pt x="259" y="39"/>
                </a:lnTo>
                <a:lnTo>
                  <a:pt x="257" y="29"/>
                </a:lnTo>
                <a:lnTo>
                  <a:pt x="261" y="19"/>
                </a:lnTo>
                <a:lnTo>
                  <a:pt x="259" y="13"/>
                </a:lnTo>
                <a:lnTo>
                  <a:pt x="256" y="12"/>
                </a:lnTo>
                <a:lnTo>
                  <a:pt x="254" y="5"/>
                </a:lnTo>
                <a:lnTo>
                  <a:pt x="253" y="4"/>
                </a:lnTo>
                <a:lnTo>
                  <a:pt x="253" y="0"/>
                </a:lnTo>
                <a:lnTo>
                  <a:pt x="205" y="3"/>
                </a:lnTo>
                <a:lnTo>
                  <a:pt x="138" y="7"/>
                </a:lnTo>
                <a:lnTo>
                  <a:pt x="57" y="9"/>
                </a:lnTo>
                <a:lnTo>
                  <a:pt x="9" y="11"/>
                </a:lnTo>
                <a:lnTo>
                  <a:pt x="1" y="11"/>
                </a:lnTo>
                <a:lnTo>
                  <a:pt x="2" y="16"/>
                </a:lnTo>
                <a:lnTo>
                  <a:pt x="4" y="21"/>
                </a:lnTo>
                <a:lnTo>
                  <a:pt x="4" y="28"/>
                </a:lnTo>
                <a:lnTo>
                  <a:pt x="2" y="29"/>
                </a:lnTo>
                <a:lnTo>
                  <a:pt x="3" y="35"/>
                </a:lnTo>
                <a:lnTo>
                  <a:pt x="9" y="40"/>
                </a:lnTo>
                <a:lnTo>
                  <a:pt x="9" y="45"/>
                </a:lnTo>
                <a:lnTo>
                  <a:pt x="5" y="51"/>
                </a:lnTo>
                <a:lnTo>
                  <a:pt x="7" y="56"/>
                </a:lnTo>
                <a:lnTo>
                  <a:pt x="3" y="67"/>
                </a:lnTo>
                <a:lnTo>
                  <a:pt x="2" y="68"/>
                </a:lnTo>
                <a:lnTo>
                  <a:pt x="0" y="73"/>
                </a:lnTo>
                <a:lnTo>
                  <a:pt x="1" y="79"/>
                </a:lnTo>
                <a:lnTo>
                  <a:pt x="5" y="84"/>
                </a:lnTo>
                <a:lnTo>
                  <a:pt x="8" y="96"/>
                </a:lnTo>
                <a:lnTo>
                  <a:pt x="8" y="96"/>
                </a:lnTo>
                <a:lnTo>
                  <a:pt x="8" y="96"/>
                </a:lnTo>
                <a:close/>
              </a:path>
            </a:pathLst>
          </a:custGeom>
          <a:solidFill>
            <a:srgbClr val="E75936">
              <a:alpha val="81342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A6639AAE-E3EB-4818-B0F9-6F44B2A4DC6E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25">
        <xdr:nvSpPr>
          <xdr:cNvPr id="466" name="MN">
            <a:extLst>
              <a:ext uri="{FF2B5EF4-FFF2-40B4-BE49-F238E27FC236}">
                <a16:creationId xmlns:a16="http://schemas.microsoft.com/office/drawing/2014/main" id="{00000000-0008-0000-0100-0000D2010000}"/>
              </a:ext>
            </a:extLst>
          </xdr:cNvPr>
          <xdr:cNvSpPr>
            <a:spLocks/>
          </xdr:cNvSpPr>
        </xdr:nvSpPr>
        <xdr:spPr bwMode="auto">
          <a:xfrm>
            <a:off x="3642983" y="1808776"/>
            <a:ext cx="542925" cy="603997"/>
          </a:xfrm>
          <a:custGeom>
            <a:avLst/>
            <a:gdLst>
              <a:gd name="T0" fmla="*/ 0 w 336"/>
              <a:gd name="T1" fmla="*/ 36 h 505"/>
              <a:gd name="T2" fmla="*/ 6 w 336"/>
              <a:gd name="T3" fmla="*/ 61 h 505"/>
              <a:gd name="T4" fmla="*/ 4 w 336"/>
              <a:gd name="T5" fmla="*/ 86 h 505"/>
              <a:gd name="T6" fmla="*/ 5 w 336"/>
              <a:gd name="T7" fmla="*/ 106 h 505"/>
              <a:gd name="T8" fmla="*/ 15 w 336"/>
              <a:gd name="T9" fmla="*/ 143 h 505"/>
              <a:gd name="T10" fmla="*/ 16 w 336"/>
              <a:gd name="T11" fmla="*/ 167 h 505"/>
              <a:gd name="T12" fmla="*/ 18 w 336"/>
              <a:gd name="T13" fmla="*/ 195 h 505"/>
              <a:gd name="T14" fmla="*/ 20 w 336"/>
              <a:gd name="T15" fmla="*/ 214 h 505"/>
              <a:gd name="T16" fmla="*/ 22 w 336"/>
              <a:gd name="T17" fmla="*/ 246 h 505"/>
              <a:gd name="T18" fmla="*/ 29 w 336"/>
              <a:gd name="T19" fmla="*/ 266 h 505"/>
              <a:gd name="T20" fmla="*/ 30 w 336"/>
              <a:gd name="T21" fmla="*/ 287 h 505"/>
              <a:gd name="T22" fmla="*/ 26 w 336"/>
              <a:gd name="T23" fmla="*/ 311 h 505"/>
              <a:gd name="T24" fmla="*/ 16 w 336"/>
              <a:gd name="T25" fmla="*/ 323 h 505"/>
              <a:gd name="T26" fmla="*/ 28 w 336"/>
              <a:gd name="T27" fmla="*/ 341 h 505"/>
              <a:gd name="T28" fmla="*/ 37 w 336"/>
              <a:gd name="T29" fmla="*/ 505 h 505"/>
              <a:gd name="T30" fmla="*/ 233 w 336"/>
              <a:gd name="T31" fmla="*/ 497 h 505"/>
              <a:gd name="T32" fmla="*/ 280 w 336"/>
              <a:gd name="T33" fmla="*/ 486 h 505"/>
              <a:gd name="T34" fmla="*/ 274 w 336"/>
              <a:gd name="T35" fmla="*/ 458 h 505"/>
              <a:gd name="T36" fmla="*/ 262 w 336"/>
              <a:gd name="T37" fmla="*/ 447 h 505"/>
              <a:gd name="T38" fmla="*/ 244 w 336"/>
              <a:gd name="T39" fmla="*/ 423 h 505"/>
              <a:gd name="T40" fmla="*/ 228 w 336"/>
              <a:gd name="T41" fmla="*/ 413 h 505"/>
              <a:gd name="T42" fmla="*/ 214 w 336"/>
              <a:gd name="T43" fmla="*/ 402 h 505"/>
              <a:gd name="T44" fmla="*/ 205 w 336"/>
              <a:gd name="T45" fmla="*/ 385 h 505"/>
              <a:gd name="T46" fmla="*/ 205 w 336"/>
              <a:gd name="T47" fmla="*/ 358 h 505"/>
              <a:gd name="T48" fmla="*/ 204 w 336"/>
              <a:gd name="T49" fmla="*/ 322 h 505"/>
              <a:gd name="T50" fmla="*/ 197 w 336"/>
              <a:gd name="T51" fmla="*/ 309 h 505"/>
              <a:gd name="T52" fmla="*/ 204 w 336"/>
              <a:gd name="T53" fmla="*/ 293 h 505"/>
              <a:gd name="T54" fmla="*/ 222 w 336"/>
              <a:gd name="T55" fmla="*/ 275 h 505"/>
              <a:gd name="T56" fmla="*/ 225 w 336"/>
              <a:gd name="T57" fmla="*/ 225 h 505"/>
              <a:gd name="T58" fmla="*/ 229 w 336"/>
              <a:gd name="T59" fmla="*/ 215 h 505"/>
              <a:gd name="T60" fmla="*/ 247 w 336"/>
              <a:gd name="T61" fmla="*/ 193 h 505"/>
              <a:gd name="T62" fmla="*/ 265 w 336"/>
              <a:gd name="T63" fmla="*/ 167 h 505"/>
              <a:gd name="T64" fmla="*/ 298 w 336"/>
              <a:gd name="T65" fmla="*/ 127 h 505"/>
              <a:gd name="T66" fmla="*/ 324 w 336"/>
              <a:gd name="T67" fmla="*/ 111 h 505"/>
              <a:gd name="T68" fmla="*/ 336 w 336"/>
              <a:gd name="T69" fmla="*/ 100 h 505"/>
              <a:gd name="T70" fmla="*/ 317 w 336"/>
              <a:gd name="T71" fmla="*/ 100 h 505"/>
              <a:gd name="T72" fmla="*/ 304 w 336"/>
              <a:gd name="T73" fmla="*/ 94 h 505"/>
              <a:gd name="T74" fmla="*/ 287 w 336"/>
              <a:gd name="T75" fmla="*/ 97 h 505"/>
              <a:gd name="T76" fmla="*/ 280 w 336"/>
              <a:gd name="T77" fmla="*/ 90 h 505"/>
              <a:gd name="T78" fmla="*/ 267 w 336"/>
              <a:gd name="T79" fmla="*/ 94 h 505"/>
              <a:gd name="T80" fmla="*/ 250 w 336"/>
              <a:gd name="T81" fmla="*/ 104 h 505"/>
              <a:gd name="T82" fmla="*/ 230 w 336"/>
              <a:gd name="T83" fmla="*/ 88 h 505"/>
              <a:gd name="T84" fmla="*/ 217 w 336"/>
              <a:gd name="T85" fmla="*/ 81 h 505"/>
              <a:gd name="T86" fmla="*/ 209 w 336"/>
              <a:gd name="T87" fmla="*/ 84 h 505"/>
              <a:gd name="T88" fmla="*/ 200 w 336"/>
              <a:gd name="T89" fmla="*/ 74 h 505"/>
              <a:gd name="T90" fmla="*/ 176 w 336"/>
              <a:gd name="T91" fmla="*/ 60 h 505"/>
              <a:gd name="T92" fmla="*/ 169 w 336"/>
              <a:gd name="T93" fmla="*/ 61 h 505"/>
              <a:gd name="T94" fmla="*/ 154 w 336"/>
              <a:gd name="T95" fmla="*/ 70 h 505"/>
              <a:gd name="T96" fmla="*/ 130 w 336"/>
              <a:gd name="T97" fmla="*/ 60 h 505"/>
              <a:gd name="T98" fmla="*/ 114 w 336"/>
              <a:gd name="T99" fmla="*/ 53 h 505"/>
              <a:gd name="T100" fmla="*/ 107 w 336"/>
              <a:gd name="T101" fmla="*/ 24 h 505"/>
              <a:gd name="T102" fmla="*/ 93 w 336"/>
              <a:gd name="T103" fmla="*/ 1 h 505"/>
              <a:gd name="T104" fmla="*/ 90 w 336"/>
              <a:gd name="T105" fmla="*/ 30 h 505"/>
              <a:gd name="T106" fmla="*/ 1 w 336"/>
              <a:gd name="T107" fmla="*/ 32 h 50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336" h="505">
                <a:moveTo>
                  <a:pt x="1" y="32"/>
                </a:moveTo>
                <a:lnTo>
                  <a:pt x="0" y="34"/>
                </a:lnTo>
                <a:lnTo>
                  <a:pt x="0" y="36"/>
                </a:lnTo>
                <a:lnTo>
                  <a:pt x="2" y="40"/>
                </a:lnTo>
                <a:lnTo>
                  <a:pt x="4" y="56"/>
                </a:lnTo>
                <a:lnTo>
                  <a:pt x="6" y="61"/>
                </a:lnTo>
                <a:lnTo>
                  <a:pt x="4" y="72"/>
                </a:lnTo>
                <a:lnTo>
                  <a:pt x="5" y="81"/>
                </a:lnTo>
                <a:lnTo>
                  <a:pt x="4" y="86"/>
                </a:lnTo>
                <a:lnTo>
                  <a:pt x="5" y="90"/>
                </a:lnTo>
                <a:lnTo>
                  <a:pt x="4" y="101"/>
                </a:lnTo>
                <a:lnTo>
                  <a:pt x="5" y="106"/>
                </a:lnTo>
                <a:lnTo>
                  <a:pt x="10" y="125"/>
                </a:lnTo>
                <a:lnTo>
                  <a:pt x="9" y="127"/>
                </a:lnTo>
                <a:lnTo>
                  <a:pt x="15" y="143"/>
                </a:lnTo>
                <a:lnTo>
                  <a:pt x="17" y="155"/>
                </a:lnTo>
                <a:lnTo>
                  <a:pt x="17" y="162"/>
                </a:lnTo>
                <a:lnTo>
                  <a:pt x="16" y="167"/>
                </a:lnTo>
                <a:lnTo>
                  <a:pt x="17" y="173"/>
                </a:lnTo>
                <a:lnTo>
                  <a:pt x="17" y="183"/>
                </a:lnTo>
                <a:lnTo>
                  <a:pt x="18" y="195"/>
                </a:lnTo>
                <a:lnTo>
                  <a:pt x="18" y="203"/>
                </a:lnTo>
                <a:lnTo>
                  <a:pt x="20" y="209"/>
                </a:lnTo>
                <a:lnTo>
                  <a:pt x="20" y="214"/>
                </a:lnTo>
                <a:lnTo>
                  <a:pt x="20" y="235"/>
                </a:lnTo>
                <a:lnTo>
                  <a:pt x="22" y="241"/>
                </a:lnTo>
                <a:lnTo>
                  <a:pt x="22" y="246"/>
                </a:lnTo>
                <a:lnTo>
                  <a:pt x="23" y="251"/>
                </a:lnTo>
                <a:lnTo>
                  <a:pt x="28" y="261"/>
                </a:lnTo>
                <a:lnTo>
                  <a:pt x="29" y="266"/>
                </a:lnTo>
                <a:lnTo>
                  <a:pt x="29" y="271"/>
                </a:lnTo>
                <a:lnTo>
                  <a:pt x="30" y="282"/>
                </a:lnTo>
                <a:lnTo>
                  <a:pt x="30" y="287"/>
                </a:lnTo>
                <a:lnTo>
                  <a:pt x="30" y="294"/>
                </a:lnTo>
                <a:lnTo>
                  <a:pt x="28" y="305"/>
                </a:lnTo>
                <a:lnTo>
                  <a:pt x="26" y="311"/>
                </a:lnTo>
                <a:lnTo>
                  <a:pt x="22" y="314"/>
                </a:lnTo>
                <a:lnTo>
                  <a:pt x="18" y="319"/>
                </a:lnTo>
                <a:lnTo>
                  <a:pt x="16" y="323"/>
                </a:lnTo>
                <a:lnTo>
                  <a:pt x="20" y="329"/>
                </a:lnTo>
                <a:lnTo>
                  <a:pt x="24" y="339"/>
                </a:lnTo>
                <a:lnTo>
                  <a:pt x="28" y="341"/>
                </a:lnTo>
                <a:lnTo>
                  <a:pt x="32" y="343"/>
                </a:lnTo>
                <a:lnTo>
                  <a:pt x="36" y="349"/>
                </a:lnTo>
                <a:lnTo>
                  <a:pt x="37" y="505"/>
                </a:lnTo>
                <a:lnTo>
                  <a:pt x="85" y="503"/>
                </a:lnTo>
                <a:lnTo>
                  <a:pt x="166" y="501"/>
                </a:lnTo>
                <a:lnTo>
                  <a:pt x="233" y="497"/>
                </a:lnTo>
                <a:lnTo>
                  <a:pt x="281" y="494"/>
                </a:lnTo>
                <a:lnTo>
                  <a:pt x="280" y="487"/>
                </a:lnTo>
                <a:lnTo>
                  <a:pt x="280" y="486"/>
                </a:lnTo>
                <a:lnTo>
                  <a:pt x="279" y="479"/>
                </a:lnTo>
                <a:lnTo>
                  <a:pt x="277" y="465"/>
                </a:lnTo>
                <a:lnTo>
                  <a:pt x="274" y="458"/>
                </a:lnTo>
                <a:lnTo>
                  <a:pt x="270" y="453"/>
                </a:lnTo>
                <a:lnTo>
                  <a:pt x="266" y="449"/>
                </a:lnTo>
                <a:lnTo>
                  <a:pt x="262" y="447"/>
                </a:lnTo>
                <a:lnTo>
                  <a:pt x="257" y="445"/>
                </a:lnTo>
                <a:lnTo>
                  <a:pt x="249" y="435"/>
                </a:lnTo>
                <a:lnTo>
                  <a:pt x="244" y="423"/>
                </a:lnTo>
                <a:lnTo>
                  <a:pt x="238" y="418"/>
                </a:lnTo>
                <a:lnTo>
                  <a:pt x="232" y="415"/>
                </a:lnTo>
                <a:lnTo>
                  <a:pt x="228" y="413"/>
                </a:lnTo>
                <a:lnTo>
                  <a:pt x="226" y="406"/>
                </a:lnTo>
                <a:lnTo>
                  <a:pt x="218" y="405"/>
                </a:lnTo>
                <a:lnTo>
                  <a:pt x="214" y="402"/>
                </a:lnTo>
                <a:lnTo>
                  <a:pt x="210" y="397"/>
                </a:lnTo>
                <a:lnTo>
                  <a:pt x="203" y="390"/>
                </a:lnTo>
                <a:lnTo>
                  <a:pt x="205" y="385"/>
                </a:lnTo>
                <a:lnTo>
                  <a:pt x="206" y="375"/>
                </a:lnTo>
                <a:lnTo>
                  <a:pt x="203" y="363"/>
                </a:lnTo>
                <a:lnTo>
                  <a:pt x="205" y="358"/>
                </a:lnTo>
                <a:lnTo>
                  <a:pt x="204" y="347"/>
                </a:lnTo>
                <a:lnTo>
                  <a:pt x="209" y="333"/>
                </a:lnTo>
                <a:lnTo>
                  <a:pt x="204" y="322"/>
                </a:lnTo>
                <a:lnTo>
                  <a:pt x="200" y="321"/>
                </a:lnTo>
                <a:lnTo>
                  <a:pt x="197" y="315"/>
                </a:lnTo>
                <a:lnTo>
                  <a:pt x="197" y="309"/>
                </a:lnTo>
                <a:lnTo>
                  <a:pt x="200" y="305"/>
                </a:lnTo>
                <a:lnTo>
                  <a:pt x="203" y="298"/>
                </a:lnTo>
                <a:lnTo>
                  <a:pt x="204" y="293"/>
                </a:lnTo>
                <a:lnTo>
                  <a:pt x="212" y="285"/>
                </a:lnTo>
                <a:lnTo>
                  <a:pt x="220" y="279"/>
                </a:lnTo>
                <a:lnTo>
                  <a:pt x="222" y="275"/>
                </a:lnTo>
                <a:lnTo>
                  <a:pt x="223" y="269"/>
                </a:lnTo>
                <a:lnTo>
                  <a:pt x="222" y="225"/>
                </a:lnTo>
                <a:lnTo>
                  <a:pt x="225" y="225"/>
                </a:lnTo>
                <a:lnTo>
                  <a:pt x="227" y="218"/>
                </a:lnTo>
                <a:lnTo>
                  <a:pt x="228" y="218"/>
                </a:lnTo>
                <a:lnTo>
                  <a:pt x="229" y="215"/>
                </a:lnTo>
                <a:lnTo>
                  <a:pt x="231" y="211"/>
                </a:lnTo>
                <a:lnTo>
                  <a:pt x="243" y="198"/>
                </a:lnTo>
                <a:lnTo>
                  <a:pt x="247" y="193"/>
                </a:lnTo>
                <a:lnTo>
                  <a:pt x="250" y="189"/>
                </a:lnTo>
                <a:lnTo>
                  <a:pt x="254" y="183"/>
                </a:lnTo>
                <a:lnTo>
                  <a:pt x="265" y="167"/>
                </a:lnTo>
                <a:lnTo>
                  <a:pt x="269" y="158"/>
                </a:lnTo>
                <a:lnTo>
                  <a:pt x="285" y="138"/>
                </a:lnTo>
                <a:lnTo>
                  <a:pt x="298" y="127"/>
                </a:lnTo>
                <a:lnTo>
                  <a:pt x="306" y="123"/>
                </a:lnTo>
                <a:lnTo>
                  <a:pt x="310" y="122"/>
                </a:lnTo>
                <a:lnTo>
                  <a:pt x="324" y="111"/>
                </a:lnTo>
                <a:lnTo>
                  <a:pt x="328" y="109"/>
                </a:lnTo>
                <a:lnTo>
                  <a:pt x="332" y="104"/>
                </a:lnTo>
                <a:lnTo>
                  <a:pt x="336" y="100"/>
                </a:lnTo>
                <a:lnTo>
                  <a:pt x="326" y="100"/>
                </a:lnTo>
                <a:lnTo>
                  <a:pt x="321" y="102"/>
                </a:lnTo>
                <a:lnTo>
                  <a:pt x="317" y="100"/>
                </a:lnTo>
                <a:lnTo>
                  <a:pt x="317" y="98"/>
                </a:lnTo>
                <a:lnTo>
                  <a:pt x="313" y="93"/>
                </a:lnTo>
                <a:lnTo>
                  <a:pt x="304" y="94"/>
                </a:lnTo>
                <a:lnTo>
                  <a:pt x="300" y="96"/>
                </a:lnTo>
                <a:lnTo>
                  <a:pt x="292" y="96"/>
                </a:lnTo>
                <a:lnTo>
                  <a:pt x="287" y="97"/>
                </a:lnTo>
                <a:lnTo>
                  <a:pt x="283" y="97"/>
                </a:lnTo>
                <a:lnTo>
                  <a:pt x="282" y="92"/>
                </a:lnTo>
                <a:lnTo>
                  <a:pt x="280" y="90"/>
                </a:lnTo>
                <a:lnTo>
                  <a:pt x="280" y="86"/>
                </a:lnTo>
                <a:lnTo>
                  <a:pt x="276" y="86"/>
                </a:lnTo>
                <a:lnTo>
                  <a:pt x="267" y="94"/>
                </a:lnTo>
                <a:lnTo>
                  <a:pt x="263" y="100"/>
                </a:lnTo>
                <a:lnTo>
                  <a:pt x="255" y="105"/>
                </a:lnTo>
                <a:lnTo>
                  <a:pt x="250" y="104"/>
                </a:lnTo>
                <a:lnTo>
                  <a:pt x="242" y="98"/>
                </a:lnTo>
                <a:lnTo>
                  <a:pt x="241" y="94"/>
                </a:lnTo>
                <a:lnTo>
                  <a:pt x="230" y="88"/>
                </a:lnTo>
                <a:lnTo>
                  <a:pt x="228" y="82"/>
                </a:lnTo>
                <a:lnTo>
                  <a:pt x="224" y="81"/>
                </a:lnTo>
                <a:lnTo>
                  <a:pt x="217" y="81"/>
                </a:lnTo>
                <a:lnTo>
                  <a:pt x="216" y="90"/>
                </a:lnTo>
                <a:lnTo>
                  <a:pt x="212" y="88"/>
                </a:lnTo>
                <a:lnTo>
                  <a:pt x="209" y="84"/>
                </a:lnTo>
                <a:lnTo>
                  <a:pt x="209" y="78"/>
                </a:lnTo>
                <a:lnTo>
                  <a:pt x="205" y="73"/>
                </a:lnTo>
                <a:lnTo>
                  <a:pt x="200" y="74"/>
                </a:lnTo>
                <a:lnTo>
                  <a:pt x="202" y="68"/>
                </a:lnTo>
                <a:lnTo>
                  <a:pt x="185" y="60"/>
                </a:lnTo>
                <a:lnTo>
                  <a:pt x="176" y="60"/>
                </a:lnTo>
                <a:lnTo>
                  <a:pt x="172" y="60"/>
                </a:lnTo>
                <a:lnTo>
                  <a:pt x="171" y="60"/>
                </a:lnTo>
                <a:lnTo>
                  <a:pt x="169" y="61"/>
                </a:lnTo>
                <a:lnTo>
                  <a:pt x="167" y="62"/>
                </a:lnTo>
                <a:lnTo>
                  <a:pt x="164" y="68"/>
                </a:lnTo>
                <a:lnTo>
                  <a:pt x="154" y="70"/>
                </a:lnTo>
                <a:lnTo>
                  <a:pt x="149" y="68"/>
                </a:lnTo>
                <a:lnTo>
                  <a:pt x="148" y="62"/>
                </a:lnTo>
                <a:lnTo>
                  <a:pt x="130" y="60"/>
                </a:lnTo>
                <a:lnTo>
                  <a:pt x="126" y="56"/>
                </a:lnTo>
                <a:lnTo>
                  <a:pt x="118" y="56"/>
                </a:lnTo>
                <a:lnTo>
                  <a:pt x="114" y="53"/>
                </a:lnTo>
                <a:lnTo>
                  <a:pt x="110" y="48"/>
                </a:lnTo>
                <a:lnTo>
                  <a:pt x="111" y="40"/>
                </a:lnTo>
                <a:lnTo>
                  <a:pt x="107" y="24"/>
                </a:lnTo>
                <a:lnTo>
                  <a:pt x="105" y="8"/>
                </a:lnTo>
                <a:lnTo>
                  <a:pt x="101" y="2"/>
                </a:lnTo>
                <a:lnTo>
                  <a:pt x="93" y="1"/>
                </a:lnTo>
                <a:lnTo>
                  <a:pt x="90" y="0"/>
                </a:lnTo>
                <a:lnTo>
                  <a:pt x="91" y="26"/>
                </a:lnTo>
                <a:lnTo>
                  <a:pt x="90" y="30"/>
                </a:lnTo>
                <a:lnTo>
                  <a:pt x="57" y="32"/>
                </a:lnTo>
                <a:lnTo>
                  <a:pt x="1" y="32"/>
                </a:lnTo>
                <a:lnTo>
                  <a:pt x="1" y="32"/>
                </a:lnTo>
                <a:lnTo>
                  <a:pt x="1" y="32"/>
                </a:lnTo>
                <a:close/>
              </a:path>
            </a:pathLst>
          </a:custGeom>
          <a:solidFill>
            <a:srgbClr val="E75936">
              <a:alpha val="30752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68D4348D-D114-4D12-A3BE-009EE3D01F59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43">
        <xdr:nvSpPr>
          <xdr:cNvPr id="492" name="SC">
            <a:extLst>
              <a:ext uri="{FF2B5EF4-FFF2-40B4-BE49-F238E27FC236}">
                <a16:creationId xmlns:a16="http://schemas.microsoft.com/office/drawing/2014/main" id="{00000000-0008-0000-0100-0000EC010000}"/>
              </a:ext>
            </a:extLst>
          </xdr:cNvPr>
          <xdr:cNvSpPr>
            <a:spLocks/>
          </xdr:cNvSpPr>
        </xdr:nvSpPr>
        <xdr:spPr bwMode="auto">
          <a:xfrm>
            <a:off x="4815947" y="3159084"/>
            <a:ext cx="428625" cy="313765"/>
          </a:xfrm>
          <a:custGeom>
            <a:avLst/>
            <a:gdLst>
              <a:gd name="T0" fmla="*/ 1 w 258"/>
              <a:gd name="T1" fmla="*/ 54 h 263"/>
              <a:gd name="T2" fmla="*/ 6 w 258"/>
              <a:gd name="T3" fmla="*/ 68 h 263"/>
              <a:gd name="T4" fmla="*/ 24 w 258"/>
              <a:gd name="T5" fmla="*/ 77 h 263"/>
              <a:gd name="T6" fmla="*/ 35 w 258"/>
              <a:gd name="T7" fmla="*/ 93 h 263"/>
              <a:gd name="T8" fmla="*/ 55 w 258"/>
              <a:gd name="T9" fmla="*/ 123 h 263"/>
              <a:gd name="T10" fmla="*/ 70 w 258"/>
              <a:gd name="T11" fmla="*/ 141 h 263"/>
              <a:gd name="T12" fmla="*/ 83 w 258"/>
              <a:gd name="T13" fmla="*/ 151 h 263"/>
              <a:gd name="T14" fmla="*/ 88 w 258"/>
              <a:gd name="T15" fmla="*/ 163 h 263"/>
              <a:gd name="T16" fmla="*/ 98 w 258"/>
              <a:gd name="T17" fmla="*/ 174 h 263"/>
              <a:gd name="T18" fmla="*/ 106 w 258"/>
              <a:gd name="T19" fmla="*/ 182 h 263"/>
              <a:gd name="T20" fmla="*/ 120 w 258"/>
              <a:gd name="T21" fmla="*/ 202 h 263"/>
              <a:gd name="T22" fmla="*/ 123 w 258"/>
              <a:gd name="T23" fmla="*/ 219 h 263"/>
              <a:gd name="T24" fmla="*/ 136 w 258"/>
              <a:gd name="T25" fmla="*/ 231 h 263"/>
              <a:gd name="T26" fmla="*/ 141 w 258"/>
              <a:gd name="T27" fmla="*/ 249 h 263"/>
              <a:gd name="T28" fmla="*/ 153 w 258"/>
              <a:gd name="T29" fmla="*/ 261 h 263"/>
              <a:gd name="T30" fmla="*/ 159 w 258"/>
              <a:gd name="T31" fmla="*/ 253 h 263"/>
              <a:gd name="T32" fmla="*/ 163 w 258"/>
              <a:gd name="T33" fmla="*/ 253 h 263"/>
              <a:gd name="T34" fmla="*/ 160 w 258"/>
              <a:gd name="T35" fmla="*/ 239 h 263"/>
              <a:gd name="T36" fmla="*/ 158 w 258"/>
              <a:gd name="T37" fmla="*/ 227 h 263"/>
              <a:gd name="T38" fmla="*/ 164 w 258"/>
              <a:gd name="T39" fmla="*/ 226 h 263"/>
              <a:gd name="T40" fmla="*/ 175 w 258"/>
              <a:gd name="T41" fmla="*/ 235 h 263"/>
              <a:gd name="T42" fmla="*/ 176 w 258"/>
              <a:gd name="T43" fmla="*/ 226 h 263"/>
              <a:gd name="T44" fmla="*/ 166 w 258"/>
              <a:gd name="T45" fmla="*/ 221 h 263"/>
              <a:gd name="T46" fmla="*/ 176 w 258"/>
              <a:gd name="T47" fmla="*/ 218 h 263"/>
              <a:gd name="T48" fmla="*/ 188 w 258"/>
              <a:gd name="T49" fmla="*/ 210 h 263"/>
              <a:gd name="T50" fmla="*/ 193 w 258"/>
              <a:gd name="T51" fmla="*/ 206 h 263"/>
              <a:gd name="T52" fmla="*/ 202 w 258"/>
              <a:gd name="T53" fmla="*/ 198 h 263"/>
              <a:gd name="T54" fmla="*/ 198 w 258"/>
              <a:gd name="T55" fmla="*/ 182 h 263"/>
              <a:gd name="T56" fmla="*/ 207 w 258"/>
              <a:gd name="T57" fmla="*/ 186 h 263"/>
              <a:gd name="T58" fmla="*/ 216 w 258"/>
              <a:gd name="T59" fmla="*/ 173 h 263"/>
              <a:gd name="T60" fmla="*/ 221 w 258"/>
              <a:gd name="T61" fmla="*/ 163 h 263"/>
              <a:gd name="T62" fmla="*/ 230 w 258"/>
              <a:gd name="T63" fmla="*/ 150 h 263"/>
              <a:gd name="T64" fmla="*/ 234 w 258"/>
              <a:gd name="T65" fmla="*/ 145 h 263"/>
              <a:gd name="T66" fmla="*/ 228 w 258"/>
              <a:gd name="T67" fmla="*/ 130 h 263"/>
              <a:gd name="T68" fmla="*/ 228 w 258"/>
              <a:gd name="T69" fmla="*/ 134 h 263"/>
              <a:gd name="T70" fmla="*/ 234 w 258"/>
              <a:gd name="T71" fmla="*/ 123 h 263"/>
              <a:gd name="T72" fmla="*/ 254 w 258"/>
              <a:gd name="T73" fmla="*/ 82 h 263"/>
              <a:gd name="T74" fmla="*/ 256 w 258"/>
              <a:gd name="T75" fmla="*/ 74 h 263"/>
              <a:gd name="T76" fmla="*/ 131 w 258"/>
              <a:gd name="T77" fmla="*/ 22 h 263"/>
              <a:gd name="T78" fmla="*/ 122 w 258"/>
              <a:gd name="T79" fmla="*/ 2 h 263"/>
              <a:gd name="T80" fmla="*/ 97 w 258"/>
              <a:gd name="T81" fmla="*/ 1 h 263"/>
              <a:gd name="T82" fmla="*/ 42 w 258"/>
              <a:gd name="T83" fmla="*/ 13 h 263"/>
              <a:gd name="T84" fmla="*/ 23 w 258"/>
              <a:gd name="T85" fmla="*/ 25 h 263"/>
              <a:gd name="T86" fmla="*/ 10 w 258"/>
              <a:gd name="T87" fmla="*/ 34 h 26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258" h="263">
                <a:moveTo>
                  <a:pt x="10" y="34"/>
                </a:moveTo>
                <a:lnTo>
                  <a:pt x="9" y="38"/>
                </a:lnTo>
                <a:lnTo>
                  <a:pt x="1" y="54"/>
                </a:lnTo>
                <a:lnTo>
                  <a:pt x="0" y="60"/>
                </a:lnTo>
                <a:lnTo>
                  <a:pt x="2" y="65"/>
                </a:lnTo>
                <a:lnTo>
                  <a:pt x="6" y="68"/>
                </a:lnTo>
                <a:lnTo>
                  <a:pt x="10" y="69"/>
                </a:lnTo>
                <a:lnTo>
                  <a:pt x="18" y="77"/>
                </a:lnTo>
                <a:lnTo>
                  <a:pt x="24" y="77"/>
                </a:lnTo>
                <a:lnTo>
                  <a:pt x="29" y="81"/>
                </a:lnTo>
                <a:lnTo>
                  <a:pt x="31" y="86"/>
                </a:lnTo>
                <a:lnTo>
                  <a:pt x="35" y="93"/>
                </a:lnTo>
                <a:lnTo>
                  <a:pt x="36" y="98"/>
                </a:lnTo>
                <a:lnTo>
                  <a:pt x="47" y="115"/>
                </a:lnTo>
                <a:lnTo>
                  <a:pt x="55" y="123"/>
                </a:lnTo>
                <a:lnTo>
                  <a:pt x="63" y="129"/>
                </a:lnTo>
                <a:lnTo>
                  <a:pt x="67" y="134"/>
                </a:lnTo>
                <a:lnTo>
                  <a:pt x="70" y="141"/>
                </a:lnTo>
                <a:lnTo>
                  <a:pt x="73" y="143"/>
                </a:lnTo>
                <a:lnTo>
                  <a:pt x="77" y="145"/>
                </a:lnTo>
                <a:lnTo>
                  <a:pt x="83" y="151"/>
                </a:lnTo>
                <a:lnTo>
                  <a:pt x="87" y="154"/>
                </a:lnTo>
                <a:lnTo>
                  <a:pt x="87" y="158"/>
                </a:lnTo>
                <a:lnTo>
                  <a:pt x="88" y="163"/>
                </a:lnTo>
                <a:lnTo>
                  <a:pt x="92" y="166"/>
                </a:lnTo>
                <a:lnTo>
                  <a:pt x="93" y="171"/>
                </a:lnTo>
                <a:lnTo>
                  <a:pt x="98" y="174"/>
                </a:lnTo>
                <a:lnTo>
                  <a:pt x="98" y="174"/>
                </a:lnTo>
                <a:lnTo>
                  <a:pt x="102" y="179"/>
                </a:lnTo>
                <a:lnTo>
                  <a:pt x="106" y="182"/>
                </a:lnTo>
                <a:lnTo>
                  <a:pt x="114" y="189"/>
                </a:lnTo>
                <a:lnTo>
                  <a:pt x="115" y="194"/>
                </a:lnTo>
                <a:lnTo>
                  <a:pt x="120" y="202"/>
                </a:lnTo>
                <a:lnTo>
                  <a:pt x="122" y="209"/>
                </a:lnTo>
                <a:lnTo>
                  <a:pt x="122" y="213"/>
                </a:lnTo>
                <a:lnTo>
                  <a:pt x="123" y="219"/>
                </a:lnTo>
                <a:lnTo>
                  <a:pt x="127" y="223"/>
                </a:lnTo>
                <a:lnTo>
                  <a:pt x="133" y="226"/>
                </a:lnTo>
                <a:lnTo>
                  <a:pt x="136" y="231"/>
                </a:lnTo>
                <a:lnTo>
                  <a:pt x="138" y="238"/>
                </a:lnTo>
                <a:lnTo>
                  <a:pt x="141" y="243"/>
                </a:lnTo>
                <a:lnTo>
                  <a:pt x="141" y="249"/>
                </a:lnTo>
                <a:lnTo>
                  <a:pt x="142" y="254"/>
                </a:lnTo>
                <a:lnTo>
                  <a:pt x="144" y="259"/>
                </a:lnTo>
                <a:lnTo>
                  <a:pt x="153" y="261"/>
                </a:lnTo>
                <a:lnTo>
                  <a:pt x="155" y="263"/>
                </a:lnTo>
                <a:lnTo>
                  <a:pt x="157" y="263"/>
                </a:lnTo>
                <a:lnTo>
                  <a:pt x="159" y="253"/>
                </a:lnTo>
                <a:lnTo>
                  <a:pt x="160" y="247"/>
                </a:lnTo>
                <a:lnTo>
                  <a:pt x="160" y="253"/>
                </a:lnTo>
                <a:lnTo>
                  <a:pt x="163" y="253"/>
                </a:lnTo>
                <a:lnTo>
                  <a:pt x="166" y="247"/>
                </a:lnTo>
                <a:lnTo>
                  <a:pt x="162" y="242"/>
                </a:lnTo>
                <a:lnTo>
                  <a:pt x="160" y="239"/>
                </a:lnTo>
                <a:lnTo>
                  <a:pt x="159" y="234"/>
                </a:lnTo>
                <a:lnTo>
                  <a:pt x="155" y="223"/>
                </a:lnTo>
                <a:lnTo>
                  <a:pt x="158" y="227"/>
                </a:lnTo>
                <a:lnTo>
                  <a:pt x="160" y="233"/>
                </a:lnTo>
                <a:lnTo>
                  <a:pt x="164" y="237"/>
                </a:lnTo>
                <a:lnTo>
                  <a:pt x="164" y="226"/>
                </a:lnTo>
                <a:lnTo>
                  <a:pt x="167" y="237"/>
                </a:lnTo>
                <a:lnTo>
                  <a:pt x="171" y="239"/>
                </a:lnTo>
                <a:lnTo>
                  <a:pt x="175" y="235"/>
                </a:lnTo>
                <a:lnTo>
                  <a:pt x="177" y="226"/>
                </a:lnTo>
                <a:lnTo>
                  <a:pt x="173" y="231"/>
                </a:lnTo>
                <a:lnTo>
                  <a:pt x="176" y="226"/>
                </a:lnTo>
                <a:lnTo>
                  <a:pt x="175" y="223"/>
                </a:lnTo>
                <a:lnTo>
                  <a:pt x="170" y="223"/>
                </a:lnTo>
                <a:lnTo>
                  <a:pt x="166" y="221"/>
                </a:lnTo>
                <a:lnTo>
                  <a:pt x="163" y="221"/>
                </a:lnTo>
                <a:lnTo>
                  <a:pt x="171" y="217"/>
                </a:lnTo>
                <a:lnTo>
                  <a:pt x="176" y="218"/>
                </a:lnTo>
                <a:lnTo>
                  <a:pt x="180" y="215"/>
                </a:lnTo>
                <a:lnTo>
                  <a:pt x="184" y="215"/>
                </a:lnTo>
                <a:lnTo>
                  <a:pt x="188" y="210"/>
                </a:lnTo>
                <a:lnTo>
                  <a:pt x="185" y="207"/>
                </a:lnTo>
                <a:lnTo>
                  <a:pt x="189" y="210"/>
                </a:lnTo>
                <a:lnTo>
                  <a:pt x="193" y="206"/>
                </a:lnTo>
                <a:lnTo>
                  <a:pt x="198" y="203"/>
                </a:lnTo>
                <a:lnTo>
                  <a:pt x="198" y="201"/>
                </a:lnTo>
                <a:lnTo>
                  <a:pt x="202" y="198"/>
                </a:lnTo>
                <a:lnTo>
                  <a:pt x="204" y="193"/>
                </a:lnTo>
                <a:lnTo>
                  <a:pt x="200" y="190"/>
                </a:lnTo>
                <a:lnTo>
                  <a:pt x="198" y="182"/>
                </a:lnTo>
                <a:lnTo>
                  <a:pt x="202" y="182"/>
                </a:lnTo>
                <a:lnTo>
                  <a:pt x="203" y="187"/>
                </a:lnTo>
                <a:lnTo>
                  <a:pt x="207" y="186"/>
                </a:lnTo>
                <a:lnTo>
                  <a:pt x="211" y="181"/>
                </a:lnTo>
                <a:lnTo>
                  <a:pt x="213" y="175"/>
                </a:lnTo>
                <a:lnTo>
                  <a:pt x="216" y="173"/>
                </a:lnTo>
                <a:lnTo>
                  <a:pt x="214" y="167"/>
                </a:lnTo>
                <a:lnTo>
                  <a:pt x="217" y="162"/>
                </a:lnTo>
                <a:lnTo>
                  <a:pt x="221" y="163"/>
                </a:lnTo>
                <a:lnTo>
                  <a:pt x="225" y="162"/>
                </a:lnTo>
                <a:lnTo>
                  <a:pt x="227" y="157"/>
                </a:lnTo>
                <a:lnTo>
                  <a:pt x="230" y="150"/>
                </a:lnTo>
                <a:lnTo>
                  <a:pt x="227" y="149"/>
                </a:lnTo>
                <a:lnTo>
                  <a:pt x="231" y="150"/>
                </a:lnTo>
                <a:lnTo>
                  <a:pt x="234" y="145"/>
                </a:lnTo>
                <a:lnTo>
                  <a:pt x="231" y="139"/>
                </a:lnTo>
                <a:lnTo>
                  <a:pt x="227" y="135"/>
                </a:lnTo>
                <a:lnTo>
                  <a:pt x="228" y="130"/>
                </a:lnTo>
                <a:lnTo>
                  <a:pt x="230" y="123"/>
                </a:lnTo>
                <a:lnTo>
                  <a:pt x="231" y="122"/>
                </a:lnTo>
                <a:lnTo>
                  <a:pt x="228" y="134"/>
                </a:lnTo>
                <a:lnTo>
                  <a:pt x="232" y="135"/>
                </a:lnTo>
                <a:lnTo>
                  <a:pt x="234" y="141"/>
                </a:lnTo>
                <a:lnTo>
                  <a:pt x="234" y="123"/>
                </a:lnTo>
                <a:lnTo>
                  <a:pt x="236" y="117"/>
                </a:lnTo>
                <a:lnTo>
                  <a:pt x="245" y="95"/>
                </a:lnTo>
                <a:lnTo>
                  <a:pt x="254" y="82"/>
                </a:lnTo>
                <a:lnTo>
                  <a:pt x="258" y="79"/>
                </a:lnTo>
                <a:lnTo>
                  <a:pt x="258" y="77"/>
                </a:lnTo>
                <a:lnTo>
                  <a:pt x="256" y="74"/>
                </a:lnTo>
                <a:lnTo>
                  <a:pt x="190" y="12"/>
                </a:lnTo>
                <a:lnTo>
                  <a:pt x="132" y="24"/>
                </a:lnTo>
                <a:lnTo>
                  <a:pt x="131" y="22"/>
                </a:lnTo>
                <a:lnTo>
                  <a:pt x="131" y="17"/>
                </a:lnTo>
                <a:lnTo>
                  <a:pt x="129" y="12"/>
                </a:lnTo>
                <a:lnTo>
                  <a:pt x="122" y="2"/>
                </a:lnTo>
                <a:lnTo>
                  <a:pt x="118" y="5"/>
                </a:lnTo>
                <a:lnTo>
                  <a:pt x="114" y="0"/>
                </a:lnTo>
                <a:lnTo>
                  <a:pt x="97" y="1"/>
                </a:lnTo>
                <a:lnTo>
                  <a:pt x="50" y="8"/>
                </a:lnTo>
                <a:lnTo>
                  <a:pt x="46" y="9"/>
                </a:lnTo>
                <a:lnTo>
                  <a:pt x="42" y="13"/>
                </a:lnTo>
                <a:lnTo>
                  <a:pt x="34" y="17"/>
                </a:lnTo>
                <a:lnTo>
                  <a:pt x="28" y="25"/>
                </a:lnTo>
                <a:lnTo>
                  <a:pt x="23" y="25"/>
                </a:lnTo>
                <a:lnTo>
                  <a:pt x="10" y="34"/>
                </a:lnTo>
                <a:lnTo>
                  <a:pt x="10" y="34"/>
                </a:lnTo>
                <a:lnTo>
                  <a:pt x="10" y="34"/>
                </a:lnTo>
                <a:close/>
              </a:path>
            </a:pathLst>
          </a:custGeom>
          <a:solidFill>
            <a:srgbClr val="E75936">
              <a:alpha val="63429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38D11847-ECF4-48F3-A5A2-BF65AC22E0AD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3">
        <xdr:nvSpPr>
          <xdr:cNvPr id="525" name="AK">
            <a:extLst>
              <a:ext uri="{FF2B5EF4-FFF2-40B4-BE49-F238E27FC236}">
                <a16:creationId xmlns:a16="http://schemas.microsoft.com/office/drawing/2014/main" id="{00000000-0008-0000-0100-00000D020000}"/>
              </a:ext>
            </a:extLst>
          </xdr:cNvPr>
          <xdr:cNvSpPr>
            <a:spLocks/>
          </xdr:cNvSpPr>
        </xdr:nvSpPr>
        <xdr:spPr bwMode="auto">
          <a:xfrm>
            <a:off x="1598340" y="3562616"/>
            <a:ext cx="762857" cy="644683"/>
          </a:xfrm>
          <a:custGeom>
            <a:avLst/>
            <a:gdLst>
              <a:gd name="T0" fmla="*/ 21 w 187"/>
              <a:gd name="T1" fmla="*/ 22 h 154"/>
              <a:gd name="T2" fmla="*/ 36 w 187"/>
              <a:gd name="T3" fmla="*/ 1 h 154"/>
              <a:gd name="T4" fmla="*/ 59 w 187"/>
              <a:gd name="T5" fmla="*/ 1 h 154"/>
              <a:gd name="T6" fmla="*/ 70 w 187"/>
              <a:gd name="T7" fmla="*/ 4 h 154"/>
              <a:gd name="T8" fmla="*/ 88 w 187"/>
              <a:gd name="T9" fmla="*/ 3 h 154"/>
              <a:gd name="T10" fmla="*/ 119 w 187"/>
              <a:gd name="T11" fmla="*/ 88 h 154"/>
              <a:gd name="T12" fmla="*/ 128 w 187"/>
              <a:gd name="T13" fmla="*/ 93 h 154"/>
              <a:gd name="T14" fmla="*/ 146 w 187"/>
              <a:gd name="T15" fmla="*/ 91 h 154"/>
              <a:gd name="T16" fmla="*/ 160 w 187"/>
              <a:gd name="T17" fmla="*/ 110 h 154"/>
              <a:gd name="T18" fmla="*/ 169 w 187"/>
              <a:gd name="T19" fmla="*/ 117 h 154"/>
              <a:gd name="T20" fmla="*/ 182 w 187"/>
              <a:gd name="T21" fmla="*/ 113 h 154"/>
              <a:gd name="T22" fmla="*/ 186 w 187"/>
              <a:gd name="T23" fmla="*/ 127 h 154"/>
              <a:gd name="T24" fmla="*/ 158 w 187"/>
              <a:gd name="T25" fmla="*/ 119 h 154"/>
              <a:gd name="T26" fmla="*/ 140 w 187"/>
              <a:gd name="T27" fmla="*/ 102 h 154"/>
              <a:gd name="T28" fmla="*/ 111 w 187"/>
              <a:gd name="T29" fmla="*/ 96 h 154"/>
              <a:gd name="T30" fmla="*/ 93 w 187"/>
              <a:gd name="T31" fmla="*/ 91 h 154"/>
              <a:gd name="T32" fmla="*/ 87 w 187"/>
              <a:gd name="T33" fmla="*/ 102 h 154"/>
              <a:gd name="T34" fmla="*/ 69 w 187"/>
              <a:gd name="T35" fmla="*/ 107 h 154"/>
              <a:gd name="T36" fmla="*/ 72 w 187"/>
              <a:gd name="T37" fmla="*/ 96 h 154"/>
              <a:gd name="T38" fmla="*/ 75 w 187"/>
              <a:gd name="T39" fmla="*/ 89 h 154"/>
              <a:gd name="T40" fmla="*/ 64 w 187"/>
              <a:gd name="T41" fmla="*/ 113 h 154"/>
              <a:gd name="T42" fmla="*/ 34 w 187"/>
              <a:gd name="T43" fmla="*/ 145 h 154"/>
              <a:gd name="T44" fmla="*/ 1 w 187"/>
              <a:gd name="T45" fmla="*/ 154 h 154"/>
              <a:gd name="T46" fmla="*/ 11 w 187"/>
              <a:gd name="T47" fmla="*/ 149 h 154"/>
              <a:gd name="T48" fmla="*/ 42 w 187"/>
              <a:gd name="T49" fmla="*/ 124 h 154"/>
              <a:gd name="T50" fmla="*/ 39 w 187"/>
              <a:gd name="T51" fmla="*/ 111 h 154"/>
              <a:gd name="T52" fmla="*/ 28 w 187"/>
              <a:gd name="T53" fmla="*/ 113 h 154"/>
              <a:gd name="T54" fmla="*/ 20 w 187"/>
              <a:gd name="T55" fmla="*/ 110 h 154"/>
              <a:gd name="T56" fmla="*/ 19 w 187"/>
              <a:gd name="T57" fmla="*/ 103 h 154"/>
              <a:gd name="T58" fmla="*/ 4 w 187"/>
              <a:gd name="T59" fmla="*/ 97 h 154"/>
              <a:gd name="T60" fmla="*/ 3 w 187"/>
              <a:gd name="T61" fmla="*/ 85 h 154"/>
              <a:gd name="T62" fmla="*/ 14 w 187"/>
              <a:gd name="T63" fmla="*/ 72 h 154"/>
              <a:gd name="T64" fmla="*/ 24 w 187"/>
              <a:gd name="T65" fmla="*/ 69 h 154"/>
              <a:gd name="T66" fmla="*/ 28 w 187"/>
              <a:gd name="T67" fmla="*/ 61 h 154"/>
              <a:gd name="T68" fmla="*/ 19 w 187"/>
              <a:gd name="T69" fmla="*/ 63 h 154"/>
              <a:gd name="T70" fmla="*/ 5 w 187"/>
              <a:gd name="T71" fmla="*/ 50 h 154"/>
              <a:gd name="T72" fmla="*/ 10 w 187"/>
              <a:gd name="T73" fmla="*/ 39 h 154"/>
              <a:gd name="T74" fmla="*/ 18 w 187"/>
              <a:gd name="T75" fmla="*/ 47 h 154"/>
              <a:gd name="T76" fmla="*/ 23 w 187"/>
              <a:gd name="T77" fmla="*/ 45 h 154"/>
              <a:gd name="T78" fmla="*/ 29 w 187"/>
              <a:gd name="T79" fmla="*/ 35 h 154"/>
              <a:gd name="T80" fmla="*/ 11 w 187"/>
              <a:gd name="T81" fmla="*/ 24 h 1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</a:cxnLst>
            <a:rect l="0" t="0" r="r" b="b"/>
            <a:pathLst>
              <a:path w="187" h="154">
                <a:moveTo>
                  <a:pt x="13" y="19"/>
                </a:moveTo>
                <a:lnTo>
                  <a:pt x="21" y="22"/>
                </a:lnTo>
                <a:lnTo>
                  <a:pt x="25" y="9"/>
                </a:lnTo>
                <a:lnTo>
                  <a:pt x="36" y="1"/>
                </a:lnTo>
                <a:lnTo>
                  <a:pt x="48" y="0"/>
                </a:lnTo>
                <a:lnTo>
                  <a:pt x="59" y="1"/>
                </a:lnTo>
                <a:lnTo>
                  <a:pt x="60" y="4"/>
                </a:lnTo>
                <a:lnTo>
                  <a:pt x="70" y="4"/>
                </a:lnTo>
                <a:lnTo>
                  <a:pt x="84" y="6"/>
                </a:lnTo>
                <a:lnTo>
                  <a:pt x="88" y="3"/>
                </a:lnTo>
                <a:lnTo>
                  <a:pt x="98" y="7"/>
                </a:lnTo>
                <a:lnTo>
                  <a:pt x="119" y="88"/>
                </a:lnTo>
                <a:lnTo>
                  <a:pt x="127" y="89"/>
                </a:lnTo>
                <a:lnTo>
                  <a:pt x="128" y="93"/>
                </a:lnTo>
                <a:lnTo>
                  <a:pt x="138" y="98"/>
                </a:lnTo>
                <a:lnTo>
                  <a:pt x="146" y="91"/>
                </a:lnTo>
                <a:lnTo>
                  <a:pt x="147" y="98"/>
                </a:lnTo>
                <a:lnTo>
                  <a:pt x="160" y="110"/>
                </a:lnTo>
                <a:lnTo>
                  <a:pt x="166" y="107"/>
                </a:lnTo>
                <a:lnTo>
                  <a:pt x="169" y="117"/>
                </a:lnTo>
                <a:lnTo>
                  <a:pt x="176" y="120"/>
                </a:lnTo>
                <a:lnTo>
                  <a:pt x="182" y="113"/>
                </a:lnTo>
                <a:lnTo>
                  <a:pt x="187" y="120"/>
                </a:lnTo>
                <a:lnTo>
                  <a:pt x="186" y="127"/>
                </a:lnTo>
                <a:lnTo>
                  <a:pt x="175" y="130"/>
                </a:lnTo>
                <a:lnTo>
                  <a:pt x="158" y="119"/>
                </a:lnTo>
                <a:lnTo>
                  <a:pt x="150" y="114"/>
                </a:lnTo>
                <a:lnTo>
                  <a:pt x="140" y="102"/>
                </a:lnTo>
                <a:lnTo>
                  <a:pt x="126" y="97"/>
                </a:lnTo>
                <a:lnTo>
                  <a:pt x="111" y="96"/>
                </a:lnTo>
                <a:lnTo>
                  <a:pt x="107" y="99"/>
                </a:lnTo>
                <a:lnTo>
                  <a:pt x="93" y="91"/>
                </a:lnTo>
                <a:lnTo>
                  <a:pt x="86" y="97"/>
                </a:lnTo>
                <a:lnTo>
                  <a:pt x="87" y="102"/>
                </a:lnTo>
                <a:lnTo>
                  <a:pt x="74" y="111"/>
                </a:lnTo>
                <a:lnTo>
                  <a:pt x="69" y="107"/>
                </a:lnTo>
                <a:lnTo>
                  <a:pt x="74" y="101"/>
                </a:lnTo>
                <a:lnTo>
                  <a:pt x="72" y="96"/>
                </a:lnTo>
                <a:lnTo>
                  <a:pt x="77" y="93"/>
                </a:lnTo>
                <a:lnTo>
                  <a:pt x="75" y="89"/>
                </a:lnTo>
                <a:lnTo>
                  <a:pt x="59" y="108"/>
                </a:lnTo>
                <a:lnTo>
                  <a:pt x="64" y="113"/>
                </a:lnTo>
                <a:lnTo>
                  <a:pt x="54" y="129"/>
                </a:lnTo>
                <a:lnTo>
                  <a:pt x="34" y="145"/>
                </a:lnTo>
                <a:lnTo>
                  <a:pt x="5" y="154"/>
                </a:lnTo>
                <a:lnTo>
                  <a:pt x="1" y="154"/>
                </a:lnTo>
                <a:lnTo>
                  <a:pt x="1" y="151"/>
                </a:lnTo>
                <a:lnTo>
                  <a:pt x="11" y="149"/>
                </a:lnTo>
                <a:lnTo>
                  <a:pt x="24" y="137"/>
                </a:lnTo>
                <a:lnTo>
                  <a:pt x="42" y="124"/>
                </a:lnTo>
                <a:lnTo>
                  <a:pt x="42" y="117"/>
                </a:lnTo>
                <a:lnTo>
                  <a:pt x="39" y="111"/>
                </a:lnTo>
                <a:lnTo>
                  <a:pt x="34" y="119"/>
                </a:lnTo>
                <a:lnTo>
                  <a:pt x="28" y="113"/>
                </a:lnTo>
                <a:lnTo>
                  <a:pt x="23" y="116"/>
                </a:lnTo>
                <a:lnTo>
                  <a:pt x="20" y="110"/>
                </a:lnTo>
                <a:lnTo>
                  <a:pt x="22" y="106"/>
                </a:lnTo>
                <a:lnTo>
                  <a:pt x="19" y="103"/>
                </a:lnTo>
                <a:lnTo>
                  <a:pt x="11" y="102"/>
                </a:lnTo>
                <a:lnTo>
                  <a:pt x="4" y="97"/>
                </a:lnTo>
                <a:lnTo>
                  <a:pt x="7" y="91"/>
                </a:lnTo>
                <a:lnTo>
                  <a:pt x="3" y="85"/>
                </a:lnTo>
                <a:lnTo>
                  <a:pt x="12" y="76"/>
                </a:lnTo>
                <a:lnTo>
                  <a:pt x="14" y="72"/>
                </a:lnTo>
                <a:lnTo>
                  <a:pt x="19" y="74"/>
                </a:lnTo>
                <a:lnTo>
                  <a:pt x="24" y="69"/>
                </a:lnTo>
                <a:lnTo>
                  <a:pt x="29" y="66"/>
                </a:lnTo>
                <a:lnTo>
                  <a:pt x="28" y="61"/>
                </a:lnTo>
                <a:lnTo>
                  <a:pt x="25" y="59"/>
                </a:lnTo>
                <a:lnTo>
                  <a:pt x="19" y="63"/>
                </a:lnTo>
                <a:lnTo>
                  <a:pt x="6" y="58"/>
                </a:lnTo>
                <a:lnTo>
                  <a:pt x="5" y="50"/>
                </a:lnTo>
                <a:lnTo>
                  <a:pt x="0" y="46"/>
                </a:lnTo>
                <a:lnTo>
                  <a:pt x="10" y="39"/>
                </a:lnTo>
                <a:lnTo>
                  <a:pt x="18" y="40"/>
                </a:lnTo>
                <a:lnTo>
                  <a:pt x="18" y="47"/>
                </a:lnTo>
                <a:lnTo>
                  <a:pt x="22" y="47"/>
                </a:lnTo>
                <a:lnTo>
                  <a:pt x="23" y="45"/>
                </a:lnTo>
                <a:lnTo>
                  <a:pt x="30" y="44"/>
                </a:lnTo>
                <a:lnTo>
                  <a:pt x="29" y="35"/>
                </a:lnTo>
                <a:lnTo>
                  <a:pt x="19" y="35"/>
                </a:lnTo>
                <a:lnTo>
                  <a:pt x="11" y="24"/>
                </a:lnTo>
                <a:lnTo>
                  <a:pt x="13" y="19"/>
                </a:lnTo>
                <a:close/>
              </a:path>
            </a:pathLst>
          </a:custGeom>
          <a:solidFill>
            <a:srgbClr val="E75936">
              <a:alpha val="54240"/>
            </a:srgbClr>
          </a:solidFill>
          <a:ln w="9525" cap="flat" cmpd="sng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/>
          <a:lstStyle/>
          <a:p>
            <a:fld id="{3615400D-577A-40A4-B06C-85277A3A804B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29">
        <xdr:nvSpPr>
          <xdr:cNvPr id="454" name="NE">
            <a:extLst>
              <a:ext uri="{FF2B5EF4-FFF2-40B4-BE49-F238E27FC236}">
                <a16:creationId xmlns:a16="http://schemas.microsoft.com/office/drawing/2014/main" id="{00000000-0008-0000-0100-0000C6010000}"/>
              </a:ext>
            </a:extLst>
          </xdr:cNvPr>
          <xdr:cNvSpPr>
            <a:spLocks/>
          </xdr:cNvSpPr>
        </xdr:nvSpPr>
        <xdr:spPr bwMode="auto">
          <a:xfrm>
            <a:off x="3104541" y="2445830"/>
            <a:ext cx="690842" cy="323290"/>
          </a:xfrm>
          <a:custGeom>
            <a:avLst/>
            <a:gdLst>
              <a:gd name="T0" fmla="*/ 45 w 424"/>
              <a:gd name="T1" fmla="*/ 177 h 277"/>
              <a:gd name="T2" fmla="*/ 96 w 424"/>
              <a:gd name="T3" fmla="*/ 184 h 277"/>
              <a:gd name="T4" fmla="*/ 156 w 424"/>
              <a:gd name="T5" fmla="*/ 272 h 277"/>
              <a:gd name="T6" fmla="*/ 340 w 424"/>
              <a:gd name="T7" fmla="*/ 277 h 277"/>
              <a:gd name="T8" fmla="*/ 419 w 424"/>
              <a:gd name="T9" fmla="*/ 271 h 277"/>
              <a:gd name="T10" fmla="*/ 416 w 424"/>
              <a:gd name="T11" fmla="*/ 260 h 277"/>
              <a:gd name="T12" fmla="*/ 412 w 424"/>
              <a:gd name="T13" fmla="*/ 251 h 277"/>
              <a:gd name="T14" fmla="*/ 405 w 424"/>
              <a:gd name="T15" fmla="*/ 235 h 277"/>
              <a:gd name="T16" fmla="*/ 402 w 424"/>
              <a:gd name="T17" fmla="*/ 224 h 277"/>
              <a:gd name="T18" fmla="*/ 396 w 424"/>
              <a:gd name="T19" fmla="*/ 215 h 277"/>
              <a:gd name="T20" fmla="*/ 396 w 424"/>
              <a:gd name="T21" fmla="*/ 187 h 277"/>
              <a:gd name="T22" fmla="*/ 397 w 424"/>
              <a:gd name="T23" fmla="*/ 173 h 277"/>
              <a:gd name="T24" fmla="*/ 395 w 424"/>
              <a:gd name="T25" fmla="*/ 161 h 277"/>
              <a:gd name="T26" fmla="*/ 393 w 424"/>
              <a:gd name="T27" fmla="*/ 149 h 277"/>
              <a:gd name="T28" fmla="*/ 389 w 424"/>
              <a:gd name="T29" fmla="*/ 141 h 277"/>
              <a:gd name="T30" fmla="*/ 386 w 424"/>
              <a:gd name="T31" fmla="*/ 140 h 277"/>
              <a:gd name="T32" fmla="*/ 385 w 424"/>
              <a:gd name="T33" fmla="*/ 128 h 277"/>
              <a:gd name="T34" fmla="*/ 385 w 424"/>
              <a:gd name="T35" fmla="*/ 118 h 277"/>
              <a:gd name="T36" fmla="*/ 382 w 424"/>
              <a:gd name="T37" fmla="*/ 107 h 277"/>
              <a:gd name="T38" fmla="*/ 376 w 424"/>
              <a:gd name="T39" fmla="*/ 92 h 277"/>
              <a:gd name="T40" fmla="*/ 373 w 424"/>
              <a:gd name="T41" fmla="*/ 82 h 277"/>
              <a:gd name="T42" fmla="*/ 369 w 424"/>
              <a:gd name="T43" fmla="*/ 70 h 277"/>
              <a:gd name="T44" fmla="*/ 370 w 424"/>
              <a:gd name="T45" fmla="*/ 60 h 277"/>
              <a:gd name="T46" fmla="*/ 361 w 424"/>
              <a:gd name="T47" fmla="*/ 58 h 277"/>
              <a:gd name="T48" fmla="*/ 355 w 424"/>
              <a:gd name="T49" fmla="*/ 47 h 277"/>
              <a:gd name="T50" fmla="*/ 346 w 424"/>
              <a:gd name="T51" fmla="*/ 39 h 277"/>
              <a:gd name="T52" fmla="*/ 342 w 424"/>
              <a:gd name="T53" fmla="*/ 38 h 277"/>
              <a:gd name="T54" fmla="*/ 334 w 424"/>
              <a:gd name="T55" fmla="*/ 35 h 277"/>
              <a:gd name="T56" fmla="*/ 309 w 424"/>
              <a:gd name="T57" fmla="*/ 30 h 277"/>
              <a:gd name="T58" fmla="*/ 297 w 424"/>
              <a:gd name="T59" fmla="*/ 34 h 277"/>
              <a:gd name="T60" fmla="*/ 275 w 424"/>
              <a:gd name="T61" fmla="*/ 23 h 277"/>
              <a:gd name="T62" fmla="*/ 218 w 424"/>
              <a:gd name="T63" fmla="*/ 15 h 277"/>
              <a:gd name="T64" fmla="*/ 58 w 424"/>
              <a:gd name="T65" fmla="*/ 6 h 277"/>
              <a:gd name="T66" fmla="*/ 0 w 424"/>
              <a:gd name="T67" fmla="*/ 173 h 277"/>
              <a:gd name="T68" fmla="*/ 0 w 424"/>
              <a:gd name="T69" fmla="*/ 173 h 27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424" h="277">
                <a:moveTo>
                  <a:pt x="0" y="173"/>
                </a:moveTo>
                <a:lnTo>
                  <a:pt x="45" y="177"/>
                </a:lnTo>
                <a:lnTo>
                  <a:pt x="92" y="181"/>
                </a:lnTo>
                <a:lnTo>
                  <a:pt x="96" y="184"/>
                </a:lnTo>
                <a:lnTo>
                  <a:pt x="93" y="268"/>
                </a:lnTo>
                <a:lnTo>
                  <a:pt x="156" y="272"/>
                </a:lnTo>
                <a:lnTo>
                  <a:pt x="277" y="276"/>
                </a:lnTo>
                <a:lnTo>
                  <a:pt x="340" y="277"/>
                </a:lnTo>
                <a:lnTo>
                  <a:pt x="424" y="276"/>
                </a:lnTo>
                <a:lnTo>
                  <a:pt x="419" y="271"/>
                </a:lnTo>
                <a:lnTo>
                  <a:pt x="420" y="265"/>
                </a:lnTo>
                <a:lnTo>
                  <a:pt x="416" y="260"/>
                </a:lnTo>
                <a:lnTo>
                  <a:pt x="416" y="255"/>
                </a:lnTo>
                <a:lnTo>
                  <a:pt x="412" y="251"/>
                </a:lnTo>
                <a:lnTo>
                  <a:pt x="408" y="245"/>
                </a:lnTo>
                <a:lnTo>
                  <a:pt x="405" y="235"/>
                </a:lnTo>
                <a:lnTo>
                  <a:pt x="402" y="229"/>
                </a:lnTo>
                <a:lnTo>
                  <a:pt x="402" y="224"/>
                </a:lnTo>
                <a:lnTo>
                  <a:pt x="400" y="219"/>
                </a:lnTo>
                <a:lnTo>
                  <a:pt x="396" y="215"/>
                </a:lnTo>
                <a:lnTo>
                  <a:pt x="398" y="199"/>
                </a:lnTo>
                <a:lnTo>
                  <a:pt x="396" y="187"/>
                </a:lnTo>
                <a:lnTo>
                  <a:pt x="396" y="180"/>
                </a:lnTo>
                <a:lnTo>
                  <a:pt x="397" y="173"/>
                </a:lnTo>
                <a:lnTo>
                  <a:pt x="394" y="168"/>
                </a:lnTo>
                <a:lnTo>
                  <a:pt x="395" y="161"/>
                </a:lnTo>
                <a:lnTo>
                  <a:pt x="392" y="156"/>
                </a:lnTo>
                <a:lnTo>
                  <a:pt x="393" y="149"/>
                </a:lnTo>
                <a:lnTo>
                  <a:pt x="389" y="147"/>
                </a:lnTo>
                <a:lnTo>
                  <a:pt x="389" y="141"/>
                </a:lnTo>
                <a:lnTo>
                  <a:pt x="385" y="141"/>
                </a:lnTo>
                <a:lnTo>
                  <a:pt x="386" y="140"/>
                </a:lnTo>
                <a:lnTo>
                  <a:pt x="385" y="135"/>
                </a:lnTo>
                <a:lnTo>
                  <a:pt x="385" y="128"/>
                </a:lnTo>
                <a:lnTo>
                  <a:pt x="386" y="123"/>
                </a:lnTo>
                <a:lnTo>
                  <a:pt x="385" y="118"/>
                </a:lnTo>
                <a:lnTo>
                  <a:pt x="382" y="112"/>
                </a:lnTo>
                <a:lnTo>
                  <a:pt x="382" y="107"/>
                </a:lnTo>
                <a:lnTo>
                  <a:pt x="377" y="98"/>
                </a:lnTo>
                <a:lnTo>
                  <a:pt x="376" y="92"/>
                </a:lnTo>
                <a:lnTo>
                  <a:pt x="373" y="87"/>
                </a:lnTo>
                <a:lnTo>
                  <a:pt x="373" y="82"/>
                </a:lnTo>
                <a:lnTo>
                  <a:pt x="372" y="76"/>
                </a:lnTo>
                <a:lnTo>
                  <a:pt x="369" y="70"/>
                </a:lnTo>
                <a:lnTo>
                  <a:pt x="370" y="66"/>
                </a:lnTo>
                <a:lnTo>
                  <a:pt x="370" y="60"/>
                </a:lnTo>
                <a:lnTo>
                  <a:pt x="366" y="59"/>
                </a:lnTo>
                <a:lnTo>
                  <a:pt x="361" y="58"/>
                </a:lnTo>
                <a:lnTo>
                  <a:pt x="357" y="52"/>
                </a:lnTo>
                <a:lnTo>
                  <a:pt x="355" y="47"/>
                </a:lnTo>
                <a:lnTo>
                  <a:pt x="350" y="44"/>
                </a:lnTo>
                <a:lnTo>
                  <a:pt x="346" y="39"/>
                </a:lnTo>
                <a:lnTo>
                  <a:pt x="342" y="39"/>
                </a:lnTo>
                <a:lnTo>
                  <a:pt x="342" y="38"/>
                </a:lnTo>
                <a:lnTo>
                  <a:pt x="338" y="35"/>
                </a:lnTo>
                <a:lnTo>
                  <a:pt x="334" y="35"/>
                </a:lnTo>
                <a:lnTo>
                  <a:pt x="327" y="27"/>
                </a:lnTo>
                <a:lnTo>
                  <a:pt x="309" y="30"/>
                </a:lnTo>
                <a:lnTo>
                  <a:pt x="300" y="28"/>
                </a:lnTo>
                <a:lnTo>
                  <a:pt x="297" y="34"/>
                </a:lnTo>
                <a:lnTo>
                  <a:pt x="293" y="35"/>
                </a:lnTo>
                <a:lnTo>
                  <a:pt x="275" y="23"/>
                </a:lnTo>
                <a:lnTo>
                  <a:pt x="270" y="16"/>
                </a:lnTo>
                <a:lnTo>
                  <a:pt x="218" y="15"/>
                </a:lnTo>
                <a:lnTo>
                  <a:pt x="139" y="11"/>
                </a:lnTo>
                <a:lnTo>
                  <a:pt x="58" y="6"/>
                </a:lnTo>
                <a:lnTo>
                  <a:pt x="9" y="0"/>
                </a:lnTo>
                <a:lnTo>
                  <a:pt x="0" y="173"/>
                </a:lnTo>
                <a:lnTo>
                  <a:pt x="0" y="173"/>
                </a:lnTo>
                <a:lnTo>
                  <a:pt x="0" y="173"/>
                </a:lnTo>
                <a:close/>
              </a:path>
            </a:pathLst>
          </a:custGeom>
          <a:solidFill>
            <a:srgbClr val="E75936">
              <a:alpha val="37719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CBDF39B1-4142-412E-86A1-12B872934D5E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44">
        <xdr:nvSpPr>
          <xdr:cNvPr id="455" name="SD">
            <a:extLst>
              <a:ext uri="{FF2B5EF4-FFF2-40B4-BE49-F238E27FC236}">
                <a16:creationId xmlns:a16="http://schemas.microsoft.com/office/drawing/2014/main" id="{00000000-0008-0000-0100-0000C7010000}"/>
              </a:ext>
            </a:extLst>
          </xdr:cNvPr>
          <xdr:cNvSpPr>
            <a:spLocks/>
          </xdr:cNvSpPr>
        </xdr:nvSpPr>
        <xdr:spPr bwMode="auto">
          <a:xfrm>
            <a:off x="3123591" y="2141590"/>
            <a:ext cx="576542" cy="370915"/>
          </a:xfrm>
          <a:custGeom>
            <a:avLst/>
            <a:gdLst>
              <a:gd name="T0" fmla="*/ 0 w 358"/>
              <a:gd name="T1" fmla="*/ 253 h 312"/>
              <a:gd name="T2" fmla="*/ 49 w 358"/>
              <a:gd name="T3" fmla="*/ 259 h 312"/>
              <a:gd name="T4" fmla="*/ 130 w 358"/>
              <a:gd name="T5" fmla="*/ 264 h 312"/>
              <a:gd name="T6" fmla="*/ 209 w 358"/>
              <a:gd name="T7" fmla="*/ 268 h 312"/>
              <a:gd name="T8" fmla="*/ 261 w 358"/>
              <a:gd name="T9" fmla="*/ 269 h 312"/>
              <a:gd name="T10" fmla="*/ 266 w 358"/>
              <a:gd name="T11" fmla="*/ 276 h 312"/>
              <a:gd name="T12" fmla="*/ 284 w 358"/>
              <a:gd name="T13" fmla="*/ 288 h 312"/>
              <a:gd name="T14" fmla="*/ 288 w 358"/>
              <a:gd name="T15" fmla="*/ 287 h 312"/>
              <a:gd name="T16" fmla="*/ 291 w 358"/>
              <a:gd name="T17" fmla="*/ 281 h 312"/>
              <a:gd name="T18" fmla="*/ 300 w 358"/>
              <a:gd name="T19" fmla="*/ 283 h 312"/>
              <a:gd name="T20" fmla="*/ 318 w 358"/>
              <a:gd name="T21" fmla="*/ 280 h 312"/>
              <a:gd name="T22" fmla="*/ 325 w 358"/>
              <a:gd name="T23" fmla="*/ 288 h 312"/>
              <a:gd name="T24" fmla="*/ 329 w 358"/>
              <a:gd name="T25" fmla="*/ 288 h 312"/>
              <a:gd name="T26" fmla="*/ 333 w 358"/>
              <a:gd name="T27" fmla="*/ 291 h 312"/>
              <a:gd name="T28" fmla="*/ 333 w 358"/>
              <a:gd name="T29" fmla="*/ 292 h 312"/>
              <a:gd name="T30" fmla="*/ 337 w 358"/>
              <a:gd name="T31" fmla="*/ 292 h 312"/>
              <a:gd name="T32" fmla="*/ 341 w 358"/>
              <a:gd name="T33" fmla="*/ 297 h 312"/>
              <a:gd name="T34" fmla="*/ 346 w 358"/>
              <a:gd name="T35" fmla="*/ 300 h 312"/>
              <a:gd name="T36" fmla="*/ 348 w 358"/>
              <a:gd name="T37" fmla="*/ 305 h 312"/>
              <a:gd name="T38" fmla="*/ 352 w 358"/>
              <a:gd name="T39" fmla="*/ 311 h 312"/>
              <a:gd name="T40" fmla="*/ 357 w 358"/>
              <a:gd name="T41" fmla="*/ 312 h 312"/>
              <a:gd name="T42" fmla="*/ 354 w 358"/>
              <a:gd name="T43" fmla="*/ 300 h 312"/>
              <a:gd name="T44" fmla="*/ 350 w 358"/>
              <a:gd name="T45" fmla="*/ 295 h 312"/>
              <a:gd name="T46" fmla="*/ 349 w 358"/>
              <a:gd name="T47" fmla="*/ 289 h 312"/>
              <a:gd name="T48" fmla="*/ 351 w 358"/>
              <a:gd name="T49" fmla="*/ 284 h 312"/>
              <a:gd name="T50" fmla="*/ 352 w 358"/>
              <a:gd name="T51" fmla="*/ 283 h 312"/>
              <a:gd name="T52" fmla="*/ 356 w 358"/>
              <a:gd name="T53" fmla="*/ 272 h 312"/>
              <a:gd name="T54" fmla="*/ 354 w 358"/>
              <a:gd name="T55" fmla="*/ 267 h 312"/>
              <a:gd name="T56" fmla="*/ 358 w 358"/>
              <a:gd name="T57" fmla="*/ 261 h 312"/>
              <a:gd name="T58" fmla="*/ 358 w 358"/>
              <a:gd name="T59" fmla="*/ 256 h 312"/>
              <a:gd name="T60" fmla="*/ 352 w 358"/>
              <a:gd name="T61" fmla="*/ 251 h 312"/>
              <a:gd name="T62" fmla="*/ 351 w 358"/>
              <a:gd name="T63" fmla="*/ 245 h 312"/>
              <a:gd name="T64" fmla="*/ 353 w 358"/>
              <a:gd name="T65" fmla="*/ 244 h 312"/>
              <a:gd name="T66" fmla="*/ 353 w 358"/>
              <a:gd name="T67" fmla="*/ 237 h 312"/>
              <a:gd name="T68" fmla="*/ 351 w 358"/>
              <a:gd name="T69" fmla="*/ 232 h 312"/>
              <a:gd name="T70" fmla="*/ 350 w 358"/>
              <a:gd name="T71" fmla="*/ 227 h 312"/>
              <a:gd name="T72" fmla="*/ 358 w 358"/>
              <a:gd name="T73" fmla="*/ 227 h 312"/>
              <a:gd name="T74" fmla="*/ 357 w 358"/>
              <a:gd name="T75" fmla="*/ 71 h 312"/>
              <a:gd name="T76" fmla="*/ 353 w 358"/>
              <a:gd name="T77" fmla="*/ 65 h 312"/>
              <a:gd name="T78" fmla="*/ 349 w 358"/>
              <a:gd name="T79" fmla="*/ 63 h 312"/>
              <a:gd name="T80" fmla="*/ 345 w 358"/>
              <a:gd name="T81" fmla="*/ 61 h 312"/>
              <a:gd name="T82" fmla="*/ 341 w 358"/>
              <a:gd name="T83" fmla="*/ 51 h 312"/>
              <a:gd name="T84" fmla="*/ 337 w 358"/>
              <a:gd name="T85" fmla="*/ 45 h 312"/>
              <a:gd name="T86" fmla="*/ 339 w 358"/>
              <a:gd name="T87" fmla="*/ 41 h 312"/>
              <a:gd name="T88" fmla="*/ 343 w 358"/>
              <a:gd name="T89" fmla="*/ 36 h 312"/>
              <a:gd name="T90" fmla="*/ 347 w 358"/>
              <a:gd name="T91" fmla="*/ 33 h 312"/>
              <a:gd name="T92" fmla="*/ 349 w 358"/>
              <a:gd name="T93" fmla="*/ 27 h 312"/>
              <a:gd name="T94" fmla="*/ 351 w 358"/>
              <a:gd name="T95" fmla="*/ 16 h 312"/>
              <a:gd name="T96" fmla="*/ 267 w 358"/>
              <a:gd name="T97" fmla="*/ 15 h 312"/>
              <a:gd name="T98" fmla="*/ 184 w 358"/>
              <a:gd name="T99" fmla="*/ 12 h 312"/>
              <a:gd name="T100" fmla="*/ 95 w 358"/>
              <a:gd name="T101" fmla="*/ 7 h 312"/>
              <a:gd name="T102" fmla="*/ 15 w 358"/>
              <a:gd name="T103" fmla="*/ 0 h 312"/>
              <a:gd name="T104" fmla="*/ 11 w 358"/>
              <a:gd name="T105" fmla="*/ 75 h 312"/>
              <a:gd name="T106" fmla="*/ 9 w 358"/>
              <a:gd name="T107" fmla="*/ 81 h 312"/>
              <a:gd name="T108" fmla="*/ 0 w 358"/>
              <a:gd name="T109" fmla="*/ 253 h 312"/>
              <a:gd name="T110" fmla="*/ 0 w 358"/>
              <a:gd name="T111" fmla="*/ 253 h 312"/>
              <a:gd name="T112" fmla="*/ 0 w 358"/>
              <a:gd name="T113" fmla="*/ 253 h 3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</a:cxnLst>
            <a:rect l="0" t="0" r="r" b="b"/>
            <a:pathLst>
              <a:path w="358" h="312">
                <a:moveTo>
                  <a:pt x="0" y="253"/>
                </a:moveTo>
                <a:lnTo>
                  <a:pt x="49" y="259"/>
                </a:lnTo>
                <a:lnTo>
                  <a:pt x="130" y="264"/>
                </a:lnTo>
                <a:lnTo>
                  <a:pt x="209" y="268"/>
                </a:lnTo>
                <a:lnTo>
                  <a:pt x="261" y="269"/>
                </a:lnTo>
                <a:lnTo>
                  <a:pt x="266" y="276"/>
                </a:lnTo>
                <a:lnTo>
                  <a:pt x="284" y="288"/>
                </a:lnTo>
                <a:lnTo>
                  <a:pt x="288" y="287"/>
                </a:lnTo>
                <a:lnTo>
                  <a:pt x="291" y="281"/>
                </a:lnTo>
                <a:lnTo>
                  <a:pt x="300" y="283"/>
                </a:lnTo>
                <a:lnTo>
                  <a:pt x="318" y="280"/>
                </a:lnTo>
                <a:lnTo>
                  <a:pt x="325" y="288"/>
                </a:lnTo>
                <a:lnTo>
                  <a:pt x="329" y="288"/>
                </a:lnTo>
                <a:lnTo>
                  <a:pt x="333" y="291"/>
                </a:lnTo>
                <a:lnTo>
                  <a:pt x="333" y="292"/>
                </a:lnTo>
                <a:lnTo>
                  <a:pt x="337" y="292"/>
                </a:lnTo>
                <a:lnTo>
                  <a:pt x="341" y="297"/>
                </a:lnTo>
                <a:lnTo>
                  <a:pt x="346" y="300"/>
                </a:lnTo>
                <a:lnTo>
                  <a:pt x="348" y="305"/>
                </a:lnTo>
                <a:lnTo>
                  <a:pt x="352" y="311"/>
                </a:lnTo>
                <a:lnTo>
                  <a:pt x="357" y="312"/>
                </a:lnTo>
                <a:lnTo>
                  <a:pt x="354" y="300"/>
                </a:lnTo>
                <a:lnTo>
                  <a:pt x="350" y="295"/>
                </a:lnTo>
                <a:lnTo>
                  <a:pt x="349" y="289"/>
                </a:lnTo>
                <a:lnTo>
                  <a:pt x="351" y="284"/>
                </a:lnTo>
                <a:lnTo>
                  <a:pt x="352" y="283"/>
                </a:lnTo>
                <a:lnTo>
                  <a:pt x="356" y="272"/>
                </a:lnTo>
                <a:lnTo>
                  <a:pt x="354" y="267"/>
                </a:lnTo>
                <a:lnTo>
                  <a:pt x="358" y="261"/>
                </a:lnTo>
                <a:lnTo>
                  <a:pt x="358" y="256"/>
                </a:lnTo>
                <a:lnTo>
                  <a:pt x="352" y="251"/>
                </a:lnTo>
                <a:lnTo>
                  <a:pt x="351" y="245"/>
                </a:lnTo>
                <a:lnTo>
                  <a:pt x="353" y="244"/>
                </a:lnTo>
                <a:lnTo>
                  <a:pt x="353" y="237"/>
                </a:lnTo>
                <a:lnTo>
                  <a:pt x="351" y="232"/>
                </a:lnTo>
                <a:lnTo>
                  <a:pt x="350" y="227"/>
                </a:lnTo>
                <a:lnTo>
                  <a:pt x="358" y="227"/>
                </a:lnTo>
                <a:lnTo>
                  <a:pt x="357" y="71"/>
                </a:lnTo>
                <a:lnTo>
                  <a:pt x="353" y="65"/>
                </a:lnTo>
                <a:lnTo>
                  <a:pt x="349" y="63"/>
                </a:lnTo>
                <a:lnTo>
                  <a:pt x="345" y="61"/>
                </a:lnTo>
                <a:lnTo>
                  <a:pt x="341" y="51"/>
                </a:lnTo>
                <a:lnTo>
                  <a:pt x="337" y="45"/>
                </a:lnTo>
                <a:lnTo>
                  <a:pt x="339" y="41"/>
                </a:lnTo>
                <a:lnTo>
                  <a:pt x="343" y="36"/>
                </a:lnTo>
                <a:lnTo>
                  <a:pt x="347" y="33"/>
                </a:lnTo>
                <a:lnTo>
                  <a:pt x="349" y="27"/>
                </a:lnTo>
                <a:lnTo>
                  <a:pt x="351" y="16"/>
                </a:lnTo>
                <a:lnTo>
                  <a:pt x="267" y="15"/>
                </a:lnTo>
                <a:lnTo>
                  <a:pt x="184" y="12"/>
                </a:lnTo>
                <a:lnTo>
                  <a:pt x="95" y="7"/>
                </a:lnTo>
                <a:lnTo>
                  <a:pt x="15" y="0"/>
                </a:lnTo>
                <a:lnTo>
                  <a:pt x="11" y="75"/>
                </a:lnTo>
                <a:lnTo>
                  <a:pt x="9" y="81"/>
                </a:lnTo>
                <a:lnTo>
                  <a:pt x="0" y="253"/>
                </a:lnTo>
                <a:lnTo>
                  <a:pt x="0" y="253"/>
                </a:lnTo>
                <a:lnTo>
                  <a:pt x="0" y="253"/>
                </a:lnTo>
                <a:close/>
              </a:path>
            </a:pathLst>
          </a:custGeom>
          <a:solidFill>
            <a:srgbClr val="E75936">
              <a:alpha val="64223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8B9A1174-FC1E-4FBE-9546-BC63087DD68F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53">
        <xdr:nvSpPr>
          <xdr:cNvPr id="450" name="WY">
            <a:extLst>
              <a:ext uri="{FF2B5EF4-FFF2-40B4-BE49-F238E27FC236}">
                <a16:creationId xmlns:a16="http://schemas.microsoft.com/office/drawing/2014/main" id="{00000000-0008-0000-0100-0000C2010000}"/>
              </a:ext>
            </a:extLst>
          </xdr:cNvPr>
          <xdr:cNvSpPr>
            <a:spLocks/>
          </xdr:cNvSpPr>
        </xdr:nvSpPr>
        <xdr:spPr bwMode="auto">
          <a:xfrm>
            <a:off x="2555745" y="2179690"/>
            <a:ext cx="577371" cy="470647"/>
          </a:xfrm>
          <a:custGeom>
            <a:avLst/>
            <a:gdLst>
              <a:gd name="T0" fmla="*/ 9 w 356"/>
              <a:gd name="T1" fmla="*/ 256 h 391"/>
              <a:gd name="T2" fmla="*/ 0 w 356"/>
              <a:gd name="T3" fmla="*/ 342 h 391"/>
              <a:gd name="T4" fmla="*/ 96 w 356"/>
              <a:gd name="T5" fmla="*/ 359 h 391"/>
              <a:gd name="T6" fmla="*/ 142 w 356"/>
              <a:gd name="T7" fmla="*/ 367 h 391"/>
              <a:gd name="T8" fmla="*/ 221 w 356"/>
              <a:gd name="T9" fmla="*/ 378 h 391"/>
              <a:gd name="T10" fmla="*/ 263 w 356"/>
              <a:gd name="T11" fmla="*/ 383 h 391"/>
              <a:gd name="T12" fmla="*/ 338 w 356"/>
              <a:gd name="T13" fmla="*/ 391 h 391"/>
              <a:gd name="T14" fmla="*/ 347 w 356"/>
              <a:gd name="T15" fmla="*/ 218 h 391"/>
              <a:gd name="T16" fmla="*/ 356 w 356"/>
              <a:gd name="T17" fmla="*/ 46 h 391"/>
              <a:gd name="T18" fmla="*/ 295 w 356"/>
              <a:gd name="T19" fmla="*/ 40 h 391"/>
              <a:gd name="T20" fmla="*/ 205 w 356"/>
              <a:gd name="T21" fmla="*/ 28 h 391"/>
              <a:gd name="T22" fmla="*/ 124 w 356"/>
              <a:gd name="T23" fmla="*/ 16 h 391"/>
              <a:gd name="T24" fmla="*/ 41 w 356"/>
              <a:gd name="T25" fmla="*/ 0 h 391"/>
              <a:gd name="T26" fmla="*/ 37 w 356"/>
              <a:gd name="T27" fmla="*/ 4 h 391"/>
              <a:gd name="T28" fmla="*/ 33 w 356"/>
              <a:gd name="T29" fmla="*/ 42 h 391"/>
              <a:gd name="T30" fmla="*/ 9 w 356"/>
              <a:gd name="T31" fmla="*/ 256 h 391"/>
              <a:gd name="T32" fmla="*/ 9 w 356"/>
              <a:gd name="T33" fmla="*/ 256 h 391"/>
              <a:gd name="T34" fmla="*/ 9 w 356"/>
              <a:gd name="T35" fmla="*/ 256 h 39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356" h="391">
                <a:moveTo>
                  <a:pt x="9" y="256"/>
                </a:moveTo>
                <a:lnTo>
                  <a:pt x="0" y="342"/>
                </a:lnTo>
                <a:lnTo>
                  <a:pt x="96" y="359"/>
                </a:lnTo>
                <a:lnTo>
                  <a:pt x="142" y="367"/>
                </a:lnTo>
                <a:lnTo>
                  <a:pt x="221" y="378"/>
                </a:lnTo>
                <a:lnTo>
                  <a:pt x="263" y="383"/>
                </a:lnTo>
                <a:lnTo>
                  <a:pt x="338" y="391"/>
                </a:lnTo>
                <a:lnTo>
                  <a:pt x="347" y="218"/>
                </a:lnTo>
                <a:lnTo>
                  <a:pt x="356" y="46"/>
                </a:lnTo>
                <a:lnTo>
                  <a:pt x="295" y="40"/>
                </a:lnTo>
                <a:lnTo>
                  <a:pt x="205" y="28"/>
                </a:lnTo>
                <a:lnTo>
                  <a:pt x="124" y="16"/>
                </a:lnTo>
                <a:lnTo>
                  <a:pt x="41" y="0"/>
                </a:lnTo>
                <a:lnTo>
                  <a:pt x="37" y="4"/>
                </a:lnTo>
                <a:lnTo>
                  <a:pt x="33" y="42"/>
                </a:lnTo>
                <a:lnTo>
                  <a:pt x="9" y="256"/>
                </a:lnTo>
                <a:lnTo>
                  <a:pt x="9" y="256"/>
                </a:lnTo>
                <a:lnTo>
                  <a:pt x="9" y="256"/>
                </a:lnTo>
                <a:close/>
              </a:path>
            </a:pathLst>
          </a:custGeom>
          <a:solidFill>
            <a:srgbClr val="E75936">
              <a:alpha val="93519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2BD93964-43A4-4CA5-B477-D831CC4C1DF3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7">
        <xdr:nvSpPr>
          <xdr:cNvPr id="452" name="CO">
            <a:extLst>
              <a:ext uri="{FF2B5EF4-FFF2-40B4-BE49-F238E27FC236}">
                <a16:creationId xmlns:a16="http://schemas.microsoft.com/office/drawing/2014/main" id="{00000000-0008-0000-0100-0000C4010000}"/>
              </a:ext>
            </a:extLst>
          </xdr:cNvPr>
          <xdr:cNvSpPr>
            <a:spLocks/>
          </xdr:cNvSpPr>
        </xdr:nvSpPr>
        <xdr:spPr bwMode="auto">
          <a:xfrm>
            <a:off x="2660520" y="2612237"/>
            <a:ext cx="605946" cy="451597"/>
          </a:xfrm>
          <a:custGeom>
            <a:avLst/>
            <a:gdLst>
              <a:gd name="T0" fmla="*/ 0 w 371"/>
              <a:gd name="T1" fmla="*/ 346 h 388"/>
              <a:gd name="T2" fmla="*/ 85 w 371"/>
              <a:gd name="T3" fmla="*/ 359 h 388"/>
              <a:gd name="T4" fmla="*/ 160 w 371"/>
              <a:gd name="T5" fmla="*/ 368 h 388"/>
              <a:gd name="T6" fmla="*/ 251 w 371"/>
              <a:gd name="T7" fmla="*/ 379 h 388"/>
              <a:gd name="T8" fmla="*/ 308 w 371"/>
              <a:gd name="T9" fmla="*/ 383 h 388"/>
              <a:gd name="T10" fmla="*/ 359 w 371"/>
              <a:gd name="T11" fmla="*/ 388 h 388"/>
              <a:gd name="T12" fmla="*/ 368 w 371"/>
              <a:gd name="T13" fmla="*/ 127 h 388"/>
              <a:gd name="T14" fmla="*/ 371 w 371"/>
              <a:gd name="T15" fmla="*/ 43 h 388"/>
              <a:gd name="T16" fmla="*/ 367 w 371"/>
              <a:gd name="T17" fmla="*/ 40 h 388"/>
              <a:gd name="T18" fmla="*/ 320 w 371"/>
              <a:gd name="T19" fmla="*/ 36 h 388"/>
              <a:gd name="T20" fmla="*/ 275 w 371"/>
              <a:gd name="T21" fmla="*/ 32 h 388"/>
              <a:gd name="T22" fmla="*/ 200 w 371"/>
              <a:gd name="T23" fmla="*/ 24 h 388"/>
              <a:gd name="T24" fmla="*/ 158 w 371"/>
              <a:gd name="T25" fmla="*/ 19 h 388"/>
              <a:gd name="T26" fmla="*/ 79 w 371"/>
              <a:gd name="T27" fmla="*/ 8 h 388"/>
              <a:gd name="T28" fmla="*/ 33 w 371"/>
              <a:gd name="T29" fmla="*/ 0 h 388"/>
              <a:gd name="T30" fmla="*/ 0 w 371"/>
              <a:gd name="T31" fmla="*/ 346 h 388"/>
              <a:gd name="T32" fmla="*/ 0 w 371"/>
              <a:gd name="T33" fmla="*/ 346 h 388"/>
              <a:gd name="T34" fmla="*/ 0 w 371"/>
              <a:gd name="T35" fmla="*/ 346 h 3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371" h="388">
                <a:moveTo>
                  <a:pt x="0" y="346"/>
                </a:moveTo>
                <a:lnTo>
                  <a:pt x="85" y="359"/>
                </a:lnTo>
                <a:lnTo>
                  <a:pt x="160" y="368"/>
                </a:lnTo>
                <a:lnTo>
                  <a:pt x="251" y="379"/>
                </a:lnTo>
                <a:lnTo>
                  <a:pt x="308" y="383"/>
                </a:lnTo>
                <a:lnTo>
                  <a:pt x="359" y="388"/>
                </a:lnTo>
                <a:lnTo>
                  <a:pt x="368" y="127"/>
                </a:lnTo>
                <a:lnTo>
                  <a:pt x="371" y="43"/>
                </a:lnTo>
                <a:lnTo>
                  <a:pt x="367" y="40"/>
                </a:lnTo>
                <a:lnTo>
                  <a:pt x="320" y="36"/>
                </a:lnTo>
                <a:lnTo>
                  <a:pt x="275" y="32"/>
                </a:lnTo>
                <a:lnTo>
                  <a:pt x="200" y="24"/>
                </a:lnTo>
                <a:lnTo>
                  <a:pt x="158" y="19"/>
                </a:lnTo>
                <a:lnTo>
                  <a:pt x="79" y="8"/>
                </a:lnTo>
                <a:lnTo>
                  <a:pt x="33" y="0"/>
                </a:lnTo>
                <a:lnTo>
                  <a:pt x="0" y="346"/>
                </a:lnTo>
                <a:lnTo>
                  <a:pt x="0" y="346"/>
                </a:lnTo>
                <a:lnTo>
                  <a:pt x="0" y="346"/>
                </a:lnTo>
                <a:close/>
              </a:path>
            </a:pathLst>
          </a:custGeom>
          <a:solidFill>
            <a:srgbClr val="E75936">
              <a:alpha val="16455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ED27DF84-0FB4-4AF9-8A35-C49FAFF1C6DE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33">
        <xdr:nvSpPr>
          <xdr:cNvPr id="451" name="NM">
            <a:extLst>
              <a:ext uri="{FF2B5EF4-FFF2-40B4-BE49-F238E27FC236}">
                <a16:creationId xmlns:a16="http://schemas.microsoft.com/office/drawing/2014/main" id="{00000000-0008-0000-0100-0000C3010000}"/>
              </a:ext>
            </a:extLst>
          </xdr:cNvPr>
          <xdr:cNvSpPr>
            <a:spLocks/>
          </xdr:cNvSpPr>
        </xdr:nvSpPr>
        <xdr:spPr bwMode="auto">
          <a:xfrm>
            <a:off x="2584320" y="3021252"/>
            <a:ext cx="577371" cy="579905"/>
          </a:xfrm>
          <a:custGeom>
            <a:avLst/>
            <a:gdLst>
              <a:gd name="T0" fmla="*/ 0 w 354"/>
              <a:gd name="T1" fmla="*/ 486 h 493"/>
              <a:gd name="T2" fmla="*/ 42 w 354"/>
              <a:gd name="T3" fmla="*/ 493 h 493"/>
              <a:gd name="T4" fmla="*/ 46 w 354"/>
              <a:gd name="T5" fmla="*/ 491 h 493"/>
              <a:gd name="T6" fmla="*/ 49 w 354"/>
              <a:gd name="T7" fmla="*/ 462 h 493"/>
              <a:gd name="T8" fmla="*/ 51 w 354"/>
              <a:gd name="T9" fmla="*/ 455 h 493"/>
              <a:gd name="T10" fmla="*/ 139 w 354"/>
              <a:gd name="T11" fmla="*/ 469 h 493"/>
              <a:gd name="T12" fmla="*/ 140 w 354"/>
              <a:gd name="T13" fmla="*/ 469 h 493"/>
              <a:gd name="T14" fmla="*/ 140 w 354"/>
              <a:gd name="T15" fmla="*/ 466 h 493"/>
              <a:gd name="T16" fmla="*/ 137 w 354"/>
              <a:gd name="T17" fmla="*/ 462 h 493"/>
              <a:gd name="T18" fmla="*/ 135 w 354"/>
              <a:gd name="T19" fmla="*/ 451 h 493"/>
              <a:gd name="T20" fmla="*/ 135 w 354"/>
              <a:gd name="T21" fmla="*/ 449 h 493"/>
              <a:gd name="T22" fmla="*/ 176 w 354"/>
              <a:gd name="T23" fmla="*/ 454 h 493"/>
              <a:gd name="T24" fmla="*/ 230 w 354"/>
              <a:gd name="T25" fmla="*/ 461 h 493"/>
              <a:gd name="T26" fmla="*/ 277 w 354"/>
              <a:gd name="T27" fmla="*/ 466 h 493"/>
              <a:gd name="T28" fmla="*/ 325 w 354"/>
              <a:gd name="T29" fmla="*/ 470 h 493"/>
              <a:gd name="T30" fmla="*/ 327 w 354"/>
              <a:gd name="T31" fmla="*/ 470 h 493"/>
              <a:gd name="T32" fmla="*/ 331 w 354"/>
              <a:gd name="T33" fmla="*/ 465 h 493"/>
              <a:gd name="T34" fmla="*/ 335 w 354"/>
              <a:gd name="T35" fmla="*/ 375 h 493"/>
              <a:gd name="T36" fmla="*/ 340 w 354"/>
              <a:gd name="T37" fmla="*/ 297 h 493"/>
              <a:gd name="T38" fmla="*/ 350 w 354"/>
              <a:gd name="T39" fmla="*/ 88 h 493"/>
              <a:gd name="T40" fmla="*/ 350 w 354"/>
              <a:gd name="T41" fmla="*/ 82 h 493"/>
              <a:gd name="T42" fmla="*/ 353 w 354"/>
              <a:gd name="T43" fmla="*/ 81 h 493"/>
              <a:gd name="T44" fmla="*/ 354 w 354"/>
              <a:gd name="T45" fmla="*/ 37 h 493"/>
              <a:gd name="T46" fmla="*/ 297 w 354"/>
              <a:gd name="T47" fmla="*/ 33 h 493"/>
              <a:gd name="T48" fmla="*/ 206 w 354"/>
              <a:gd name="T49" fmla="*/ 22 h 493"/>
              <a:gd name="T50" fmla="*/ 131 w 354"/>
              <a:gd name="T51" fmla="*/ 13 h 493"/>
              <a:gd name="T52" fmla="*/ 46 w 354"/>
              <a:gd name="T53" fmla="*/ 0 h 493"/>
              <a:gd name="T54" fmla="*/ 1 w 354"/>
              <a:gd name="T55" fmla="*/ 483 h 493"/>
              <a:gd name="T56" fmla="*/ 0 w 354"/>
              <a:gd name="T57" fmla="*/ 486 h 493"/>
              <a:gd name="T58" fmla="*/ 0 w 354"/>
              <a:gd name="T59" fmla="*/ 486 h 493"/>
              <a:gd name="T60" fmla="*/ 0 w 354"/>
              <a:gd name="T61" fmla="*/ 486 h 4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</a:cxnLst>
            <a:rect l="0" t="0" r="r" b="b"/>
            <a:pathLst>
              <a:path w="354" h="493">
                <a:moveTo>
                  <a:pt x="0" y="486"/>
                </a:moveTo>
                <a:lnTo>
                  <a:pt x="42" y="493"/>
                </a:lnTo>
                <a:lnTo>
                  <a:pt x="46" y="491"/>
                </a:lnTo>
                <a:lnTo>
                  <a:pt x="49" y="462"/>
                </a:lnTo>
                <a:lnTo>
                  <a:pt x="51" y="455"/>
                </a:lnTo>
                <a:lnTo>
                  <a:pt x="139" y="469"/>
                </a:lnTo>
                <a:lnTo>
                  <a:pt x="140" y="469"/>
                </a:lnTo>
                <a:lnTo>
                  <a:pt x="140" y="466"/>
                </a:lnTo>
                <a:lnTo>
                  <a:pt x="137" y="462"/>
                </a:lnTo>
                <a:lnTo>
                  <a:pt x="135" y="451"/>
                </a:lnTo>
                <a:lnTo>
                  <a:pt x="135" y="449"/>
                </a:lnTo>
                <a:lnTo>
                  <a:pt x="176" y="454"/>
                </a:lnTo>
                <a:lnTo>
                  <a:pt x="230" y="461"/>
                </a:lnTo>
                <a:lnTo>
                  <a:pt x="277" y="466"/>
                </a:lnTo>
                <a:lnTo>
                  <a:pt x="325" y="470"/>
                </a:lnTo>
                <a:lnTo>
                  <a:pt x="327" y="470"/>
                </a:lnTo>
                <a:lnTo>
                  <a:pt x="331" y="465"/>
                </a:lnTo>
                <a:lnTo>
                  <a:pt x="335" y="375"/>
                </a:lnTo>
                <a:lnTo>
                  <a:pt x="340" y="297"/>
                </a:lnTo>
                <a:lnTo>
                  <a:pt x="350" y="88"/>
                </a:lnTo>
                <a:lnTo>
                  <a:pt x="350" y="82"/>
                </a:lnTo>
                <a:lnTo>
                  <a:pt x="353" y="81"/>
                </a:lnTo>
                <a:lnTo>
                  <a:pt x="354" y="37"/>
                </a:lnTo>
                <a:lnTo>
                  <a:pt x="297" y="33"/>
                </a:lnTo>
                <a:lnTo>
                  <a:pt x="206" y="22"/>
                </a:lnTo>
                <a:lnTo>
                  <a:pt x="131" y="13"/>
                </a:lnTo>
                <a:lnTo>
                  <a:pt x="46" y="0"/>
                </a:lnTo>
                <a:lnTo>
                  <a:pt x="1" y="483"/>
                </a:lnTo>
                <a:lnTo>
                  <a:pt x="0" y="486"/>
                </a:lnTo>
                <a:lnTo>
                  <a:pt x="0" y="486"/>
                </a:lnTo>
                <a:lnTo>
                  <a:pt x="0" y="486"/>
                </a:lnTo>
                <a:close/>
              </a:path>
            </a:pathLst>
          </a:custGeom>
          <a:solidFill>
            <a:srgbClr val="E75936">
              <a:alpha val="73468"/>
            </a:srgbClr>
          </a:solidFill>
          <a:ln w="9525" cap="flat" cmpd="sng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/>
          <a:lstStyle/>
          <a:p>
            <a:fld id="{DF492E41-78B9-4E63-8DFF-99F9AD21F363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46">
        <xdr:nvSpPr>
          <xdr:cNvPr id="453" name="TX">
            <a:extLst>
              <a:ext uri="{FF2B5EF4-FFF2-40B4-BE49-F238E27FC236}">
                <a16:creationId xmlns:a16="http://schemas.microsoft.com/office/drawing/2014/main" id="{00000000-0008-0000-0100-0000C5010000}"/>
              </a:ext>
            </a:extLst>
          </xdr:cNvPr>
          <xdr:cNvSpPr>
            <a:spLocks/>
          </xdr:cNvSpPr>
        </xdr:nvSpPr>
        <xdr:spPr bwMode="auto">
          <a:xfrm>
            <a:off x="2803395" y="3111459"/>
            <a:ext cx="1163438" cy="1107702"/>
          </a:xfrm>
          <a:custGeom>
            <a:avLst/>
            <a:gdLst>
              <a:gd name="T0" fmla="*/ 18 w 719"/>
              <a:gd name="T1" fmla="*/ 406 h 931"/>
              <a:gd name="T2" fmla="*/ 55 w 719"/>
              <a:gd name="T3" fmla="*/ 462 h 931"/>
              <a:gd name="T4" fmla="*/ 87 w 719"/>
              <a:gd name="T5" fmla="*/ 501 h 931"/>
              <a:gd name="T6" fmla="*/ 97 w 719"/>
              <a:gd name="T7" fmla="*/ 548 h 931"/>
              <a:gd name="T8" fmla="*/ 132 w 719"/>
              <a:gd name="T9" fmla="*/ 616 h 931"/>
              <a:gd name="T10" fmla="*/ 169 w 719"/>
              <a:gd name="T11" fmla="*/ 644 h 931"/>
              <a:gd name="T12" fmla="*/ 192 w 719"/>
              <a:gd name="T13" fmla="*/ 632 h 931"/>
              <a:gd name="T14" fmla="*/ 214 w 719"/>
              <a:gd name="T15" fmla="*/ 585 h 931"/>
              <a:gd name="T16" fmla="*/ 243 w 719"/>
              <a:gd name="T17" fmla="*/ 584 h 931"/>
              <a:gd name="T18" fmla="*/ 280 w 719"/>
              <a:gd name="T19" fmla="*/ 590 h 931"/>
              <a:gd name="T20" fmla="*/ 299 w 719"/>
              <a:gd name="T21" fmla="*/ 617 h 931"/>
              <a:gd name="T22" fmla="*/ 328 w 719"/>
              <a:gd name="T23" fmla="*/ 681 h 931"/>
              <a:gd name="T24" fmla="*/ 341 w 719"/>
              <a:gd name="T25" fmla="*/ 723 h 931"/>
              <a:gd name="T26" fmla="*/ 362 w 719"/>
              <a:gd name="T27" fmla="*/ 758 h 931"/>
              <a:gd name="T28" fmla="*/ 383 w 719"/>
              <a:gd name="T29" fmla="*/ 799 h 931"/>
              <a:gd name="T30" fmla="*/ 393 w 719"/>
              <a:gd name="T31" fmla="*/ 842 h 931"/>
              <a:gd name="T32" fmla="*/ 414 w 719"/>
              <a:gd name="T33" fmla="*/ 883 h 931"/>
              <a:gd name="T34" fmla="*/ 438 w 719"/>
              <a:gd name="T35" fmla="*/ 899 h 931"/>
              <a:gd name="T36" fmla="*/ 489 w 719"/>
              <a:gd name="T37" fmla="*/ 917 h 931"/>
              <a:gd name="T38" fmla="*/ 518 w 719"/>
              <a:gd name="T39" fmla="*/ 922 h 931"/>
              <a:gd name="T40" fmla="*/ 509 w 719"/>
              <a:gd name="T41" fmla="*/ 907 h 931"/>
              <a:gd name="T42" fmla="*/ 498 w 719"/>
              <a:gd name="T43" fmla="*/ 845 h 931"/>
              <a:gd name="T44" fmla="*/ 502 w 719"/>
              <a:gd name="T45" fmla="*/ 810 h 931"/>
              <a:gd name="T46" fmla="*/ 489 w 719"/>
              <a:gd name="T47" fmla="*/ 805 h 931"/>
              <a:gd name="T48" fmla="*/ 509 w 719"/>
              <a:gd name="T49" fmla="*/ 773 h 931"/>
              <a:gd name="T50" fmla="*/ 511 w 719"/>
              <a:gd name="T51" fmla="*/ 758 h 931"/>
              <a:gd name="T52" fmla="*/ 515 w 719"/>
              <a:gd name="T53" fmla="*/ 742 h 931"/>
              <a:gd name="T54" fmla="*/ 531 w 719"/>
              <a:gd name="T55" fmla="*/ 726 h 931"/>
              <a:gd name="T56" fmla="*/ 538 w 719"/>
              <a:gd name="T57" fmla="*/ 709 h 931"/>
              <a:gd name="T58" fmla="*/ 553 w 719"/>
              <a:gd name="T59" fmla="*/ 707 h 931"/>
              <a:gd name="T60" fmla="*/ 563 w 719"/>
              <a:gd name="T61" fmla="*/ 695 h 931"/>
              <a:gd name="T62" fmla="*/ 576 w 719"/>
              <a:gd name="T63" fmla="*/ 693 h 931"/>
              <a:gd name="T64" fmla="*/ 593 w 719"/>
              <a:gd name="T65" fmla="*/ 693 h 931"/>
              <a:gd name="T66" fmla="*/ 613 w 719"/>
              <a:gd name="T67" fmla="*/ 675 h 931"/>
              <a:gd name="T68" fmla="*/ 645 w 719"/>
              <a:gd name="T69" fmla="*/ 633 h 931"/>
              <a:gd name="T70" fmla="*/ 639 w 719"/>
              <a:gd name="T71" fmla="*/ 598 h 931"/>
              <a:gd name="T72" fmla="*/ 661 w 719"/>
              <a:gd name="T73" fmla="*/ 612 h 931"/>
              <a:gd name="T74" fmla="*/ 658 w 719"/>
              <a:gd name="T75" fmla="*/ 622 h 931"/>
              <a:gd name="T76" fmla="*/ 702 w 719"/>
              <a:gd name="T77" fmla="*/ 577 h 931"/>
              <a:gd name="T78" fmla="*/ 710 w 719"/>
              <a:gd name="T79" fmla="*/ 533 h 931"/>
              <a:gd name="T80" fmla="*/ 718 w 719"/>
              <a:gd name="T81" fmla="*/ 489 h 931"/>
              <a:gd name="T82" fmla="*/ 710 w 719"/>
              <a:gd name="T83" fmla="*/ 452 h 931"/>
              <a:gd name="T84" fmla="*/ 696 w 719"/>
              <a:gd name="T85" fmla="*/ 409 h 931"/>
              <a:gd name="T86" fmla="*/ 663 w 719"/>
              <a:gd name="T87" fmla="*/ 260 h 931"/>
              <a:gd name="T88" fmla="*/ 620 w 719"/>
              <a:gd name="T89" fmla="*/ 233 h 931"/>
              <a:gd name="T90" fmla="*/ 592 w 719"/>
              <a:gd name="T91" fmla="*/ 242 h 931"/>
              <a:gd name="T92" fmla="*/ 564 w 719"/>
              <a:gd name="T93" fmla="*/ 256 h 931"/>
              <a:gd name="T94" fmla="*/ 536 w 719"/>
              <a:gd name="T95" fmla="*/ 241 h 931"/>
              <a:gd name="T96" fmla="*/ 518 w 719"/>
              <a:gd name="T97" fmla="*/ 253 h 931"/>
              <a:gd name="T98" fmla="*/ 501 w 719"/>
              <a:gd name="T99" fmla="*/ 238 h 931"/>
              <a:gd name="T100" fmla="*/ 476 w 719"/>
              <a:gd name="T101" fmla="*/ 233 h 931"/>
              <a:gd name="T102" fmla="*/ 452 w 719"/>
              <a:gd name="T103" fmla="*/ 221 h 931"/>
              <a:gd name="T104" fmla="*/ 421 w 719"/>
              <a:gd name="T105" fmla="*/ 209 h 931"/>
              <a:gd name="T106" fmla="*/ 403 w 719"/>
              <a:gd name="T107" fmla="*/ 190 h 931"/>
              <a:gd name="T108" fmla="*/ 376 w 719"/>
              <a:gd name="T109" fmla="*/ 181 h 931"/>
              <a:gd name="T110" fmla="*/ 341 w 719"/>
              <a:gd name="T111" fmla="*/ 9 h 931"/>
              <a:gd name="T112" fmla="*/ 196 w 719"/>
              <a:gd name="T113" fmla="*/ 384 h 931"/>
              <a:gd name="T114" fmla="*/ 0 w 719"/>
              <a:gd name="T115" fmla="*/ 370 h 93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719" h="931">
                <a:moveTo>
                  <a:pt x="5" y="388"/>
                </a:moveTo>
                <a:lnTo>
                  <a:pt x="8" y="390"/>
                </a:lnTo>
                <a:lnTo>
                  <a:pt x="9" y="390"/>
                </a:lnTo>
                <a:lnTo>
                  <a:pt x="11" y="392"/>
                </a:lnTo>
                <a:lnTo>
                  <a:pt x="15" y="396"/>
                </a:lnTo>
                <a:lnTo>
                  <a:pt x="17" y="401"/>
                </a:lnTo>
                <a:lnTo>
                  <a:pt x="18" y="406"/>
                </a:lnTo>
                <a:lnTo>
                  <a:pt x="21" y="417"/>
                </a:lnTo>
                <a:lnTo>
                  <a:pt x="25" y="421"/>
                </a:lnTo>
                <a:lnTo>
                  <a:pt x="33" y="426"/>
                </a:lnTo>
                <a:lnTo>
                  <a:pt x="37" y="432"/>
                </a:lnTo>
                <a:lnTo>
                  <a:pt x="45" y="446"/>
                </a:lnTo>
                <a:lnTo>
                  <a:pt x="53" y="457"/>
                </a:lnTo>
                <a:lnTo>
                  <a:pt x="55" y="462"/>
                </a:lnTo>
                <a:lnTo>
                  <a:pt x="62" y="474"/>
                </a:lnTo>
                <a:lnTo>
                  <a:pt x="67" y="478"/>
                </a:lnTo>
                <a:lnTo>
                  <a:pt x="71" y="481"/>
                </a:lnTo>
                <a:lnTo>
                  <a:pt x="79" y="490"/>
                </a:lnTo>
                <a:lnTo>
                  <a:pt x="83" y="493"/>
                </a:lnTo>
                <a:lnTo>
                  <a:pt x="84" y="498"/>
                </a:lnTo>
                <a:lnTo>
                  <a:pt x="87" y="501"/>
                </a:lnTo>
                <a:lnTo>
                  <a:pt x="89" y="506"/>
                </a:lnTo>
                <a:lnTo>
                  <a:pt x="90" y="517"/>
                </a:lnTo>
                <a:lnTo>
                  <a:pt x="92" y="520"/>
                </a:lnTo>
                <a:lnTo>
                  <a:pt x="96" y="530"/>
                </a:lnTo>
                <a:lnTo>
                  <a:pt x="98" y="536"/>
                </a:lnTo>
                <a:lnTo>
                  <a:pt x="98" y="541"/>
                </a:lnTo>
                <a:lnTo>
                  <a:pt x="97" y="548"/>
                </a:lnTo>
                <a:lnTo>
                  <a:pt x="97" y="558"/>
                </a:lnTo>
                <a:lnTo>
                  <a:pt x="106" y="585"/>
                </a:lnTo>
                <a:lnTo>
                  <a:pt x="111" y="593"/>
                </a:lnTo>
                <a:lnTo>
                  <a:pt x="115" y="596"/>
                </a:lnTo>
                <a:lnTo>
                  <a:pt x="119" y="598"/>
                </a:lnTo>
                <a:lnTo>
                  <a:pt x="122" y="604"/>
                </a:lnTo>
                <a:lnTo>
                  <a:pt x="132" y="616"/>
                </a:lnTo>
                <a:lnTo>
                  <a:pt x="136" y="618"/>
                </a:lnTo>
                <a:lnTo>
                  <a:pt x="144" y="621"/>
                </a:lnTo>
                <a:lnTo>
                  <a:pt x="146" y="626"/>
                </a:lnTo>
                <a:lnTo>
                  <a:pt x="157" y="633"/>
                </a:lnTo>
                <a:lnTo>
                  <a:pt x="161" y="640"/>
                </a:lnTo>
                <a:lnTo>
                  <a:pt x="165" y="644"/>
                </a:lnTo>
                <a:lnTo>
                  <a:pt x="169" y="644"/>
                </a:lnTo>
                <a:lnTo>
                  <a:pt x="170" y="646"/>
                </a:lnTo>
                <a:lnTo>
                  <a:pt x="174" y="648"/>
                </a:lnTo>
                <a:lnTo>
                  <a:pt x="180" y="648"/>
                </a:lnTo>
                <a:lnTo>
                  <a:pt x="182" y="642"/>
                </a:lnTo>
                <a:lnTo>
                  <a:pt x="186" y="638"/>
                </a:lnTo>
                <a:lnTo>
                  <a:pt x="188" y="633"/>
                </a:lnTo>
                <a:lnTo>
                  <a:pt x="192" y="632"/>
                </a:lnTo>
                <a:lnTo>
                  <a:pt x="194" y="626"/>
                </a:lnTo>
                <a:lnTo>
                  <a:pt x="195" y="620"/>
                </a:lnTo>
                <a:lnTo>
                  <a:pt x="197" y="618"/>
                </a:lnTo>
                <a:lnTo>
                  <a:pt x="204" y="596"/>
                </a:lnTo>
                <a:lnTo>
                  <a:pt x="208" y="589"/>
                </a:lnTo>
                <a:lnTo>
                  <a:pt x="210" y="586"/>
                </a:lnTo>
                <a:lnTo>
                  <a:pt x="214" y="585"/>
                </a:lnTo>
                <a:lnTo>
                  <a:pt x="218" y="582"/>
                </a:lnTo>
                <a:lnTo>
                  <a:pt x="222" y="584"/>
                </a:lnTo>
                <a:lnTo>
                  <a:pt x="226" y="582"/>
                </a:lnTo>
                <a:lnTo>
                  <a:pt x="228" y="577"/>
                </a:lnTo>
                <a:lnTo>
                  <a:pt x="232" y="577"/>
                </a:lnTo>
                <a:lnTo>
                  <a:pt x="239" y="582"/>
                </a:lnTo>
                <a:lnTo>
                  <a:pt x="243" y="584"/>
                </a:lnTo>
                <a:lnTo>
                  <a:pt x="248" y="582"/>
                </a:lnTo>
                <a:lnTo>
                  <a:pt x="252" y="584"/>
                </a:lnTo>
                <a:lnTo>
                  <a:pt x="256" y="584"/>
                </a:lnTo>
                <a:lnTo>
                  <a:pt x="267" y="588"/>
                </a:lnTo>
                <a:lnTo>
                  <a:pt x="272" y="584"/>
                </a:lnTo>
                <a:lnTo>
                  <a:pt x="276" y="586"/>
                </a:lnTo>
                <a:lnTo>
                  <a:pt x="280" y="590"/>
                </a:lnTo>
                <a:lnTo>
                  <a:pt x="281" y="596"/>
                </a:lnTo>
                <a:lnTo>
                  <a:pt x="284" y="601"/>
                </a:lnTo>
                <a:lnTo>
                  <a:pt x="285" y="605"/>
                </a:lnTo>
                <a:lnTo>
                  <a:pt x="289" y="604"/>
                </a:lnTo>
                <a:lnTo>
                  <a:pt x="291" y="609"/>
                </a:lnTo>
                <a:lnTo>
                  <a:pt x="295" y="614"/>
                </a:lnTo>
                <a:lnTo>
                  <a:pt x="299" y="617"/>
                </a:lnTo>
                <a:lnTo>
                  <a:pt x="300" y="621"/>
                </a:lnTo>
                <a:lnTo>
                  <a:pt x="312" y="633"/>
                </a:lnTo>
                <a:lnTo>
                  <a:pt x="316" y="645"/>
                </a:lnTo>
                <a:lnTo>
                  <a:pt x="320" y="650"/>
                </a:lnTo>
                <a:lnTo>
                  <a:pt x="322" y="663"/>
                </a:lnTo>
                <a:lnTo>
                  <a:pt x="327" y="675"/>
                </a:lnTo>
                <a:lnTo>
                  <a:pt x="328" y="681"/>
                </a:lnTo>
                <a:lnTo>
                  <a:pt x="328" y="683"/>
                </a:lnTo>
                <a:lnTo>
                  <a:pt x="331" y="687"/>
                </a:lnTo>
                <a:lnTo>
                  <a:pt x="333" y="693"/>
                </a:lnTo>
                <a:lnTo>
                  <a:pt x="337" y="699"/>
                </a:lnTo>
                <a:lnTo>
                  <a:pt x="336" y="701"/>
                </a:lnTo>
                <a:lnTo>
                  <a:pt x="337" y="711"/>
                </a:lnTo>
                <a:lnTo>
                  <a:pt x="341" y="723"/>
                </a:lnTo>
                <a:lnTo>
                  <a:pt x="346" y="727"/>
                </a:lnTo>
                <a:lnTo>
                  <a:pt x="350" y="730"/>
                </a:lnTo>
                <a:lnTo>
                  <a:pt x="353" y="738"/>
                </a:lnTo>
                <a:lnTo>
                  <a:pt x="355" y="743"/>
                </a:lnTo>
                <a:lnTo>
                  <a:pt x="358" y="747"/>
                </a:lnTo>
                <a:lnTo>
                  <a:pt x="361" y="753"/>
                </a:lnTo>
                <a:lnTo>
                  <a:pt x="362" y="758"/>
                </a:lnTo>
                <a:lnTo>
                  <a:pt x="370" y="773"/>
                </a:lnTo>
                <a:lnTo>
                  <a:pt x="377" y="775"/>
                </a:lnTo>
                <a:lnTo>
                  <a:pt x="381" y="779"/>
                </a:lnTo>
                <a:lnTo>
                  <a:pt x="382" y="782"/>
                </a:lnTo>
                <a:lnTo>
                  <a:pt x="382" y="787"/>
                </a:lnTo>
                <a:lnTo>
                  <a:pt x="383" y="793"/>
                </a:lnTo>
                <a:lnTo>
                  <a:pt x="383" y="799"/>
                </a:lnTo>
                <a:lnTo>
                  <a:pt x="381" y="805"/>
                </a:lnTo>
                <a:lnTo>
                  <a:pt x="385" y="809"/>
                </a:lnTo>
                <a:lnTo>
                  <a:pt x="385" y="815"/>
                </a:lnTo>
                <a:lnTo>
                  <a:pt x="385" y="821"/>
                </a:lnTo>
                <a:lnTo>
                  <a:pt x="385" y="826"/>
                </a:lnTo>
                <a:lnTo>
                  <a:pt x="388" y="831"/>
                </a:lnTo>
                <a:lnTo>
                  <a:pt x="393" y="842"/>
                </a:lnTo>
                <a:lnTo>
                  <a:pt x="396" y="847"/>
                </a:lnTo>
                <a:lnTo>
                  <a:pt x="399" y="859"/>
                </a:lnTo>
                <a:lnTo>
                  <a:pt x="400" y="871"/>
                </a:lnTo>
                <a:lnTo>
                  <a:pt x="404" y="875"/>
                </a:lnTo>
                <a:lnTo>
                  <a:pt x="404" y="881"/>
                </a:lnTo>
                <a:lnTo>
                  <a:pt x="406" y="883"/>
                </a:lnTo>
                <a:lnTo>
                  <a:pt x="414" y="883"/>
                </a:lnTo>
                <a:lnTo>
                  <a:pt x="418" y="886"/>
                </a:lnTo>
                <a:lnTo>
                  <a:pt x="421" y="886"/>
                </a:lnTo>
                <a:lnTo>
                  <a:pt x="425" y="890"/>
                </a:lnTo>
                <a:lnTo>
                  <a:pt x="428" y="895"/>
                </a:lnTo>
                <a:lnTo>
                  <a:pt x="430" y="897"/>
                </a:lnTo>
                <a:lnTo>
                  <a:pt x="434" y="897"/>
                </a:lnTo>
                <a:lnTo>
                  <a:pt x="438" y="899"/>
                </a:lnTo>
                <a:lnTo>
                  <a:pt x="443" y="899"/>
                </a:lnTo>
                <a:lnTo>
                  <a:pt x="451" y="910"/>
                </a:lnTo>
                <a:lnTo>
                  <a:pt x="454" y="911"/>
                </a:lnTo>
                <a:lnTo>
                  <a:pt x="471" y="914"/>
                </a:lnTo>
                <a:lnTo>
                  <a:pt x="481" y="913"/>
                </a:lnTo>
                <a:lnTo>
                  <a:pt x="485" y="915"/>
                </a:lnTo>
                <a:lnTo>
                  <a:pt x="489" y="917"/>
                </a:lnTo>
                <a:lnTo>
                  <a:pt x="497" y="927"/>
                </a:lnTo>
                <a:lnTo>
                  <a:pt x="497" y="927"/>
                </a:lnTo>
                <a:lnTo>
                  <a:pt x="502" y="931"/>
                </a:lnTo>
                <a:lnTo>
                  <a:pt x="506" y="931"/>
                </a:lnTo>
                <a:lnTo>
                  <a:pt x="506" y="926"/>
                </a:lnTo>
                <a:lnTo>
                  <a:pt x="516" y="922"/>
                </a:lnTo>
                <a:lnTo>
                  <a:pt x="518" y="922"/>
                </a:lnTo>
                <a:lnTo>
                  <a:pt x="517" y="915"/>
                </a:lnTo>
                <a:lnTo>
                  <a:pt x="513" y="921"/>
                </a:lnTo>
                <a:lnTo>
                  <a:pt x="514" y="915"/>
                </a:lnTo>
                <a:lnTo>
                  <a:pt x="511" y="921"/>
                </a:lnTo>
                <a:lnTo>
                  <a:pt x="507" y="913"/>
                </a:lnTo>
                <a:lnTo>
                  <a:pt x="512" y="913"/>
                </a:lnTo>
                <a:lnTo>
                  <a:pt x="509" y="907"/>
                </a:lnTo>
                <a:lnTo>
                  <a:pt x="508" y="897"/>
                </a:lnTo>
                <a:lnTo>
                  <a:pt x="501" y="878"/>
                </a:lnTo>
                <a:lnTo>
                  <a:pt x="501" y="873"/>
                </a:lnTo>
                <a:lnTo>
                  <a:pt x="498" y="853"/>
                </a:lnTo>
                <a:lnTo>
                  <a:pt x="494" y="847"/>
                </a:lnTo>
                <a:lnTo>
                  <a:pt x="494" y="842"/>
                </a:lnTo>
                <a:lnTo>
                  <a:pt x="498" y="845"/>
                </a:lnTo>
                <a:lnTo>
                  <a:pt x="494" y="838"/>
                </a:lnTo>
                <a:lnTo>
                  <a:pt x="494" y="833"/>
                </a:lnTo>
                <a:lnTo>
                  <a:pt x="498" y="833"/>
                </a:lnTo>
                <a:lnTo>
                  <a:pt x="499" y="826"/>
                </a:lnTo>
                <a:lnTo>
                  <a:pt x="501" y="821"/>
                </a:lnTo>
                <a:lnTo>
                  <a:pt x="501" y="815"/>
                </a:lnTo>
                <a:lnTo>
                  <a:pt x="502" y="810"/>
                </a:lnTo>
                <a:lnTo>
                  <a:pt x="494" y="813"/>
                </a:lnTo>
                <a:lnTo>
                  <a:pt x="485" y="810"/>
                </a:lnTo>
                <a:lnTo>
                  <a:pt x="486" y="803"/>
                </a:lnTo>
                <a:lnTo>
                  <a:pt x="484" y="801"/>
                </a:lnTo>
                <a:lnTo>
                  <a:pt x="482" y="795"/>
                </a:lnTo>
                <a:lnTo>
                  <a:pt x="486" y="799"/>
                </a:lnTo>
                <a:lnTo>
                  <a:pt x="489" y="805"/>
                </a:lnTo>
                <a:lnTo>
                  <a:pt x="493" y="803"/>
                </a:lnTo>
                <a:lnTo>
                  <a:pt x="496" y="802"/>
                </a:lnTo>
                <a:lnTo>
                  <a:pt x="500" y="803"/>
                </a:lnTo>
                <a:lnTo>
                  <a:pt x="496" y="807"/>
                </a:lnTo>
                <a:lnTo>
                  <a:pt x="502" y="805"/>
                </a:lnTo>
                <a:lnTo>
                  <a:pt x="510" y="778"/>
                </a:lnTo>
                <a:lnTo>
                  <a:pt x="509" y="773"/>
                </a:lnTo>
                <a:lnTo>
                  <a:pt x="507" y="771"/>
                </a:lnTo>
                <a:lnTo>
                  <a:pt x="504" y="766"/>
                </a:lnTo>
                <a:lnTo>
                  <a:pt x="504" y="761"/>
                </a:lnTo>
                <a:lnTo>
                  <a:pt x="500" y="763"/>
                </a:lnTo>
                <a:lnTo>
                  <a:pt x="497" y="761"/>
                </a:lnTo>
                <a:lnTo>
                  <a:pt x="502" y="759"/>
                </a:lnTo>
                <a:lnTo>
                  <a:pt x="511" y="758"/>
                </a:lnTo>
                <a:lnTo>
                  <a:pt x="514" y="763"/>
                </a:lnTo>
                <a:lnTo>
                  <a:pt x="522" y="749"/>
                </a:lnTo>
                <a:lnTo>
                  <a:pt x="525" y="742"/>
                </a:lnTo>
                <a:lnTo>
                  <a:pt x="525" y="738"/>
                </a:lnTo>
                <a:lnTo>
                  <a:pt x="521" y="742"/>
                </a:lnTo>
                <a:lnTo>
                  <a:pt x="519" y="747"/>
                </a:lnTo>
                <a:lnTo>
                  <a:pt x="515" y="742"/>
                </a:lnTo>
                <a:lnTo>
                  <a:pt x="517" y="737"/>
                </a:lnTo>
                <a:lnTo>
                  <a:pt x="516" y="734"/>
                </a:lnTo>
                <a:lnTo>
                  <a:pt x="520" y="734"/>
                </a:lnTo>
                <a:lnTo>
                  <a:pt x="524" y="731"/>
                </a:lnTo>
                <a:lnTo>
                  <a:pt x="526" y="737"/>
                </a:lnTo>
                <a:lnTo>
                  <a:pt x="530" y="731"/>
                </a:lnTo>
                <a:lnTo>
                  <a:pt x="531" y="726"/>
                </a:lnTo>
                <a:lnTo>
                  <a:pt x="531" y="731"/>
                </a:lnTo>
                <a:lnTo>
                  <a:pt x="530" y="737"/>
                </a:lnTo>
                <a:lnTo>
                  <a:pt x="534" y="734"/>
                </a:lnTo>
                <a:lnTo>
                  <a:pt x="538" y="726"/>
                </a:lnTo>
                <a:lnTo>
                  <a:pt x="538" y="721"/>
                </a:lnTo>
                <a:lnTo>
                  <a:pt x="536" y="715"/>
                </a:lnTo>
                <a:lnTo>
                  <a:pt x="538" y="709"/>
                </a:lnTo>
                <a:lnTo>
                  <a:pt x="538" y="707"/>
                </a:lnTo>
                <a:lnTo>
                  <a:pt x="543" y="718"/>
                </a:lnTo>
                <a:lnTo>
                  <a:pt x="547" y="719"/>
                </a:lnTo>
                <a:lnTo>
                  <a:pt x="561" y="711"/>
                </a:lnTo>
                <a:lnTo>
                  <a:pt x="561" y="709"/>
                </a:lnTo>
                <a:lnTo>
                  <a:pt x="557" y="706"/>
                </a:lnTo>
                <a:lnTo>
                  <a:pt x="553" y="707"/>
                </a:lnTo>
                <a:lnTo>
                  <a:pt x="555" y="702"/>
                </a:lnTo>
                <a:lnTo>
                  <a:pt x="551" y="698"/>
                </a:lnTo>
                <a:lnTo>
                  <a:pt x="546" y="687"/>
                </a:lnTo>
                <a:lnTo>
                  <a:pt x="551" y="686"/>
                </a:lnTo>
                <a:lnTo>
                  <a:pt x="552" y="690"/>
                </a:lnTo>
                <a:lnTo>
                  <a:pt x="559" y="697"/>
                </a:lnTo>
                <a:lnTo>
                  <a:pt x="563" y="695"/>
                </a:lnTo>
                <a:lnTo>
                  <a:pt x="559" y="685"/>
                </a:lnTo>
                <a:lnTo>
                  <a:pt x="560" y="683"/>
                </a:lnTo>
                <a:lnTo>
                  <a:pt x="562" y="690"/>
                </a:lnTo>
                <a:lnTo>
                  <a:pt x="566" y="693"/>
                </a:lnTo>
                <a:lnTo>
                  <a:pt x="571" y="689"/>
                </a:lnTo>
                <a:lnTo>
                  <a:pt x="572" y="694"/>
                </a:lnTo>
                <a:lnTo>
                  <a:pt x="576" y="693"/>
                </a:lnTo>
                <a:lnTo>
                  <a:pt x="574" y="697"/>
                </a:lnTo>
                <a:lnTo>
                  <a:pt x="582" y="693"/>
                </a:lnTo>
                <a:lnTo>
                  <a:pt x="581" y="698"/>
                </a:lnTo>
                <a:lnTo>
                  <a:pt x="572" y="703"/>
                </a:lnTo>
                <a:lnTo>
                  <a:pt x="572" y="706"/>
                </a:lnTo>
                <a:lnTo>
                  <a:pt x="584" y="697"/>
                </a:lnTo>
                <a:lnTo>
                  <a:pt x="593" y="693"/>
                </a:lnTo>
                <a:lnTo>
                  <a:pt x="598" y="687"/>
                </a:lnTo>
                <a:lnTo>
                  <a:pt x="593" y="689"/>
                </a:lnTo>
                <a:lnTo>
                  <a:pt x="589" y="693"/>
                </a:lnTo>
                <a:lnTo>
                  <a:pt x="588" y="687"/>
                </a:lnTo>
                <a:lnTo>
                  <a:pt x="597" y="683"/>
                </a:lnTo>
                <a:lnTo>
                  <a:pt x="605" y="682"/>
                </a:lnTo>
                <a:lnTo>
                  <a:pt x="613" y="675"/>
                </a:lnTo>
                <a:lnTo>
                  <a:pt x="619" y="671"/>
                </a:lnTo>
                <a:lnTo>
                  <a:pt x="623" y="667"/>
                </a:lnTo>
                <a:lnTo>
                  <a:pt x="631" y="657"/>
                </a:lnTo>
                <a:lnTo>
                  <a:pt x="631" y="648"/>
                </a:lnTo>
                <a:lnTo>
                  <a:pt x="638" y="641"/>
                </a:lnTo>
                <a:lnTo>
                  <a:pt x="641" y="636"/>
                </a:lnTo>
                <a:lnTo>
                  <a:pt x="645" y="633"/>
                </a:lnTo>
                <a:lnTo>
                  <a:pt x="647" y="626"/>
                </a:lnTo>
                <a:lnTo>
                  <a:pt x="643" y="625"/>
                </a:lnTo>
                <a:lnTo>
                  <a:pt x="643" y="617"/>
                </a:lnTo>
                <a:lnTo>
                  <a:pt x="639" y="612"/>
                </a:lnTo>
                <a:lnTo>
                  <a:pt x="639" y="606"/>
                </a:lnTo>
                <a:lnTo>
                  <a:pt x="637" y="601"/>
                </a:lnTo>
                <a:lnTo>
                  <a:pt x="639" y="598"/>
                </a:lnTo>
                <a:lnTo>
                  <a:pt x="645" y="604"/>
                </a:lnTo>
                <a:lnTo>
                  <a:pt x="647" y="598"/>
                </a:lnTo>
                <a:lnTo>
                  <a:pt x="651" y="593"/>
                </a:lnTo>
                <a:lnTo>
                  <a:pt x="655" y="594"/>
                </a:lnTo>
                <a:lnTo>
                  <a:pt x="655" y="604"/>
                </a:lnTo>
                <a:lnTo>
                  <a:pt x="652" y="614"/>
                </a:lnTo>
                <a:lnTo>
                  <a:pt x="661" y="612"/>
                </a:lnTo>
                <a:lnTo>
                  <a:pt x="669" y="612"/>
                </a:lnTo>
                <a:lnTo>
                  <a:pt x="668" y="613"/>
                </a:lnTo>
                <a:lnTo>
                  <a:pt x="664" y="614"/>
                </a:lnTo>
                <a:lnTo>
                  <a:pt x="655" y="622"/>
                </a:lnTo>
                <a:lnTo>
                  <a:pt x="652" y="629"/>
                </a:lnTo>
                <a:lnTo>
                  <a:pt x="653" y="629"/>
                </a:lnTo>
                <a:lnTo>
                  <a:pt x="658" y="622"/>
                </a:lnTo>
                <a:lnTo>
                  <a:pt x="662" y="620"/>
                </a:lnTo>
                <a:lnTo>
                  <a:pt x="666" y="617"/>
                </a:lnTo>
                <a:lnTo>
                  <a:pt x="678" y="609"/>
                </a:lnTo>
                <a:lnTo>
                  <a:pt x="691" y="601"/>
                </a:lnTo>
                <a:lnTo>
                  <a:pt x="704" y="600"/>
                </a:lnTo>
                <a:lnTo>
                  <a:pt x="698" y="588"/>
                </a:lnTo>
                <a:lnTo>
                  <a:pt x="702" y="577"/>
                </a:lnTo>
                <a:lnTo>
                  <a:pt x="706" y="572"/>
                </a:lnTo>
                <a:lnTo>
                  <a:pt x="706" y="572"/>
                </a:lnTo>
                <a:lnTo>
                  <a:pt x="710" y="566"/>
                </a:lnTo>
                <a:lnTo>
                  <a:pt x="712" y="560"/>
                </a:lnTo>
                <a:lnTo>
                  <a:pt x="710" y="546"/>
                </a:lnTo>
                <a:lnTo>
                  <a:pt x="708" y="540"/>
                </a:lnTo>
                <a:lnTo>
                  <a:pt x="710" y="533"/>
                </a:lnTo>
                <a:lnTo>
                  <a:pt x="709" y="522"/>
                </a:lnTo>
                <a:lnTo>
                  <a:pt x="711" y="517"/>
                </a:lnTo>
                <a:lnTo>
                  <a:pt x="714" y="512"/>
                </a:lnTo>
                <a:lnTo>
                  <a:pt x="715" y="506"/>
                </a:lnTo>
                <a:lnTo>
                  <a:pt x="718" y="501"/>
                </a:lnTo>
                <a:lnTo>
                  <a:pt x="717" y="494"/>
                </a:lnTo>
                <a:lnTo>
                  <a:pt x="718" y="489"/>
                </a:lnTo>
                <a:lnTo>
                  <a:pt x="717" y="484"/>
                </a:lnTo>
                <a:lnTo>
                  <a:pt x="719" y="480"/>
                </a:lnTo>
                <a:lnTo>
                  <a:pt x="718" y="474"/>
                </a:lnTo>
                <a:lnTo>
                  <a:pt x="718" y="469"/>
                </a:lnTo>
                <a:lnTo>
                  <a:pt x="716" y="468"/>
                </a:lnTo>
                <a:lnTo>
                  <a:pt x="710" y="457"/>
                </a:lnTo>
                <a:lnTo>
                  <a:pt x="710" y="452"/>
                </a:lnTo>
                <a:lnTo>
                  <a:pt x="708" y="446"/>
                </a:lnTo>
                <a:lnTo>
                  <a:pt x="706" y="445"/>
                </a:lnTo>
                <a:lnTo>
                  <a:pt x="704" y="438"/>
                </a:lnTo>
                <a:lnTo>
                  <a:pt x="701" y="433"/>
                </a:lnTo>
                <a:lnTo>
                  <a:pt x="702" y="425"/>
                </a:lnTo>
                <a:lnTo>
                  <a:pt x="698" y="414"/>
                </a:lnTo>
                <a:lnTo>
                  <a:pt x="696" y="409"/>
                </a:lnTo>
                <a:lnTo>
                  <a:pt x="689" y="400"/>
                </a:lnTo>
                <a:lnTo>
                  <a:pt x="687" y="313"/>
                </a:lnTo>
                <a:lnTo>
                  <a:pt x="685" y="265"/>
                </a:lnTo>
                <a:lnTo>
                  <a:pt x="672" y="262"/>
                </a:lnTo>
                <a:lnTo>
                  <a:pt x="668" y="266"/>
                </a:lnTo>
                <a:lnTo>
                  <a:pt x="664" y="262"/>
                </a:lnTo>
                <a:lnTo>
                  <a:pt x="663" y="260"/>
                </a:lnTo>
                <a:lnTo>
                  <a:pt x="662" y="258"/>
                </a:lnTo>
                <a:lnTo>
                  <a:pt x="650" y="254"/>
                </a:lnTo>
                <a:lnTo>
                  <a:pt x="646" y="252"/>
                </a:lnTo>
                <a:lnTo>
                  <a:pt x="642" y="250"/>
                </a:lnTo>
                <a:lnTo>
                  <a:pt x="634" y="241"/>
                </a:lnTo>
                <a:lnTo>
                  <a:pt x="624" y="233"/>
                </a:lnTo>
                <a:lnTo>
                  <a:pt x="620" y="233"/>
                </a:lnTo>
                <a:lnTo>
                  <a:pt x="618" y="238"/>
                </a:lnTo>
                <a:lnTo>
                  <a:pt x="615" y="241"/>
                </a:lnTo>
                <a:lnTo>
                  <a:pt x="611" y="241"/>
                </a:lnTo>
                <a:lnTo>
                  <a:pt x="608" y="240"/>
                </a:lnTo>
                <a:lnTo>
                  <a:pt x="604" y="234"/>
                </a:lnTo>
                <a:lnTo>
                  <a:pt x="596" y="238"/>
                </a:lnTo>
                <a:lnTo>
                  <a:pt x="592" y="242"/>
                </a:lnTo>
                <a:lnTo>
                  <a:pt x="588" y="242"/>
                </a:lnTo>
                <a:lnTo>
                  <a:pt x="584" y="238"/>
                </a:lnTo>
                <a:lnTo>
                  <a:pt x="580" y="242"/>
                </a:lnTo>
                <a:lnTo>
                  <a:pt x="575" y="244"/>
                </a:lnTo>
                <a:lnTo>
                  <a:pt x="571" y="250"/>
                </a:lnTo>
                <a:lnTo>
                  <a:pt x="566" y="250"/>
                </a:lnTo>
                <a:lnTo>
                  <a:pt x="564" y="256"/>
                </a:lnTo>
                <a:lnTo>
                  <a:pt x="560" y="250"/>
                </a:lnTo>
                <a:lnTo>
                  <a:pt x="556" y="249"/>
                </a:lnTo>
                <a:lnTo>
                  <a:pt x="552" y="245"/>
                </a:lnTo>
                <a:lnTo>
                  <a:pt x="548" y="240"/>
                </a:lnTo>
                <a:lnTo>
                  <a:pt x="544" y="240"/>
                </a:lnTo>
                <a:lnTo>
                  <a:pt x="540" y="244"/>
                </a:lnTo>
                <a:lnTo>
                  <a:pt x="536" y="241"/>
                </a:lnTo>
                <a:lnTo>
                  <a:pt x="532" y="236"/>
                </a:lnTo>
                <a:lnTo>
                  <a:pt x="528" y="234"/>
                </a:lnTo>
                <a:lnTo>
                  <a:pt x="527" y="234"/>
                </a:lnTo>
                <a:lnTo>
                  <a:pt x="527" y="238"/>
                </a:lnTo>
                <a:lnTo>
                  <a:pt x="522" y="242"/>
                </a:lnTo>
                <a:lnTo>
                  <a:pt x="521" y="253"/>
                </a:lnTo>
                <a:lnTo>
                  <a:pt x="518" y="253"/>
                </a:lnTo>
                <a:lnTo>
                  <a:pt x="517" y="252"/>
                </a:lnTo>
                <a:lnTo>
                  <a:pt x="515" y="246"/>
                </a:lnTo>
                <a:lnTo>
                  <a:pt x="517" y="241"/>
                </a:lnTo>
                <a:lnTo>
                  <a:pt x="513" y="241"/>
                </a:lnTo>
                <a:lnTo>
                  <a:pt x="506" y="245"/>
                </a:lnTo>
                <a:lnTo>
                  <a:pt x="502" y="244"/>
                </a:lnTo>
                <a:lnTo>
                  <a:pt x="501" y="238"/>
                </a:lnTo>
                <a:lnTo>
                  <a:pt x="497" y="238"/>
                </a:lnTo>
                <a:lnTo>
                  <a:pt x="495" y="233"/>
                </a:lnTo>
                <a:lnTo>
                  <a:pt x="491" y="232"/>
                </a:lnTo>
                <a:lnTo>
                  <a:pt x="484" y="240"/>
                </a:lnTo>
                <a:lnTo>
                  <a:pt x="480" y="242"/>
                </a:lnTo>
                <a:lnTo>
                  <a:pt x="476" y="241"/>
                </a:lnTo>
                <a:lnTo>
                  <a:pt x="476" y="233"/>
                </a:lnTo>
                <a:lnTo>
                  <a:pt x="475" y="230"/>
                </a:lnTo>
                <a:lnTo>
                  <a:pt x="471" y="229"/>
                </a:lnTo>
                <a:lnTo>
                  <a:pt x="468" y="224"/>
                </a:lnTo>
                <a:lnTo>
                  <a:pt x="469" y="218"/>
                </a:lnTo>
                <a:lnTo>
                  <a:pt x="464" y="218"/>
                </a:lnTo>
                <a:lnTo>
                  <a:pt x="456" y="217"/>
                </a:lnTo>
                <a:lnTo>
                  <a:pt x="452" y="221"/>
                </a:lnTo>
                <a:lnTo>
                  <a:pt x="448" y="224"/>
                </a:lnTo>
                <a:lnTo>
                  <a:pt x="444" y="220"/>
                </a:lnTo>
                <a:lnTo>
                  <a:pt x="442" y="216"/>
                </a:lnTo>
                <a:lnTo>
                  <a:pt x="438" y="216"/>
                </a:lnTo>
                <a:lnTo>
                  <a:pt x="434" y="217"/>
                </a:lnTo>
                <a:lnTo>
                  <a:pt x="426" y="213"/>
                </a:lnTo>
                <a:lnTo>
                  <a:pt x="421" y="209"/>
                </a:lnTo>
                <a:lnTo>
                  <a:pt x="417" y="210"/>
                </a:lnTo>
                <a:lnTo>
                  <a:pt x="415" y="210"/>
                </a:lnTo>
                <a:lnTo>
                  <a:pt x="411" y="210"/>
                </a:lnTo>
                <a:lnTo>
                  <a:pt x="410" y="204"/>
                </a:lnTo>
                <a:lnTo>
                  <a:pt x="410" y="198"/>
                </a:lnTo>
                <a:lnTo>
                  <a:pt x="407" y="193"/>
                </a:lnTo>
                <a:lnTo>
                  <a:pt x="403" y="190"/>
                </a:lnTo>
                <a:lnTo>
                  <a:pt x="402" y="188"/>
                </a:lnTo>
                <a:lnTo>
                  <a:pt x="400" y="193"/>
                </a:lnTo>
                <a:lnTo>
                  <a:pt x="396" y="194"/>
                </a:lnTo>
                <a:lnTo>
                  <a:pt x="391" y="192"/>
                </a:lnTo>
                <a:lnTo>
                  <a:pt x="387" y="194"/>
                </a:lnTo>
                <a:lnTo>
                  <a:pt x="383" y="192"/>
                </a:lnTo>
                <a:lnTo>
                  <a:pt x="376" y="181"/>
                </a:lnTo>
                <a:lnTo>
                  <a:pt x="372" y="177"/>
                </a:lnTo>
                <a:lnTo>
                  <a:pt x="368" y="176"/>
                </a:lnTo>
                <a:lnTo>
                  <a:pt x="368" y="166"/>
                </a:lnTo>
                <a:lnTo>
                  <a:pt x="372" y="13"/>
                </a:lnTo>
                <a:lnTo>
                  <a:pt x="367" y="9"/>
                </a:lnTo>
                <a:lnTo>
                  <a:pt x="363" y="9"/>
                </a:lnTo>
                <a:lnTo>
                  <a:pt x="341" y="9"/>
                </a:lnTo>
                <a:lnTo>
                  <a:pt x="288" y="5"/>
                </a:lnTo>
                <a:lnTo>
                  <a:pt x="218" y="0"/>
                </a:lnTo>
                <a:lnTo>
                  <a:pt x="215" y="1"/>
                </a:lnTo>
                <a:lnTo>
                  <a:pt x="215" y="7"/>
                </a:lnTo>
                <a:lnTo>
                  <a:pt x="205" y="216"/>
                </a:lnTo>
                <a:lnTo>
                  <a:pt x="200" y="294"/>
                </a:lnTo>
                <a:lnTo>
                  <a:pt x="196" y="384"/>
                </a:lnTo>
                <a:lnTo>
                  <a:pt x="192" y="389"/>
                </a:lnTo>
                <a:lnTo>
                  <a:pt x="190" y="389"/>
                </a:lnTo>
                <a:lnTo>
                  <a:pt x="142" y="385"/>
                </a:lnTo>
                <a:lnTo>
                  <a:pt x="95" y="380"/>
                </a:lnTo>
                <a:lnTo>
                  <a:pt x="41" y="373"/>
                </a:lnTo>
                <a:lnTo>
                  <a:pt x="0" y="368"/>
                </a:lnTo>
                <a:lnTo>
                  <a:pt x="0" y="370"/>
                </a:lnTo>
                <a:lnTo>
                  <a:pt x="2" y="381"/>
                </a:lnTo>
                <a:lnTo>
                  <a:pt x="5" y="385"/>
                </a:lnTo>
                <a:lnTo>
                  <a:pt x="5" y="388"/>
                </a:lnTo>
                <a:lnTo>
                  <a:pt x="5" y="388"/>
                </a:lnTo>
                <a:lnTo>
                  <a:pt x="5" y="388"/>
                </a:lnTo>
                <a:close/>
              </a:path>
            </a:pathLst>
          </a:custGeom>
          <a:solidFill>
            <a:srgbClr val="E75936">
              <a:alpha val="10477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0C5B76DF-6D89-41F6-B5D8-675007C253FB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38">
        <xdr:nvSpPr>
          <xdr:cNvPr id="457" name="OK">
            <a:extLst>
              <a:ext uri="{FF2B5EF4-FFF2-40B4-BE49-F238E27FC236}">
                <a16:creationId xmlns:a16="http://schemas.microsoft.com/office/drawing/2014/main" id="{00000000-0008-0000-0100-0000C9010000}"/>
              </a:ext>
            </a:extLst>
          </xdr:cNvPr>
          <xdr:cNvSpPr>
            <a:spLocks/>
          </xdr:cNvSpPr>
        </xdr:nvSpPr>
        <xdr:spPr bwMode="auto">
          <a:xfrm>
            <a:off x="3152166" y="3059352"/>
            <a:ext cx="719417" cy="365872"/>
          </a:xfrm>
          <a:custGeom>
            <a:avLst/>
            <a:gdLst>
              <a:gd name="T0" fmla="*/ 70 w 444"/>
              <a:gd name="T1" fmla="*/ 49 h 302"/>
              <a:gd name="T2" fmla="*/ 145 w 444"/>
              <a:gd name="T3" fmla="*/ 53 h 302"/>
              <a:gd name="T4" fmla="*/ 154 w 444"/>
              <a:gd name="T5" fmla="*/ 57 h 302"/>
              <a:gd name="T6" fmla="*/ 150 w 444"/>
              <a:gd name="T7" fmla="*/ 220 h 302"/>
              <a:gd name="T8" fmla="*/ 158 w 444"/>
              <a:gd name="T9" fmla="*/ 225 h 302"/>
              <a:gd name="T10" fmla="*/ 169 w 444"/>
              <a:gd name="T11" fmla="*/ 238 h 302"/>
              <a:gd name="T12" fmla="*/ 178 w 444"/>
              <a:gd name="T13" fmla="*/ 238 h 302"/>
              <a:gd name="T14" fmla="*/ 184 w 444"/>
              <a:gd name="T15" fmla="*/ 232 h 302"/>
              <a:gd name="T16" fmla="*/ 189 w 444"/>
              <a:gd name="T17" fmla="*/ 237 h 302"/>
              <a:gd name="T18" fmla="*/ 192 w 444"/>
              <a:gd name="T19" fmla="*/ 248 h 302"/>
              <a:gd name="T20" fmla="*/ 197 w 444"/>
              <a:gd name="T21" fmla="*/ 254 h 302"/>
              <a:gd name="T22" fmla="*/ 203 w 444"/>
              <a:gd name="T23" fmla="*/ 253 h 302"/>
              <a:gd name="T24" fmla="*/ 216 w 444"/>
              <a:gd name="T25" fmla="*/ 261 h 302"/>
              <a:gd name="T26" fmla="*/ 224 w 444"/>
              <a:gd name="T27" fmla="*/ 260 h 302"/>
              <a:gd name="T28" fmla="*/ 230 w 444"/>
              <a:gd name="T29" fmla="*/ 268 h 302"/>
              <a:gd name="T30" fmla="*/ 238 w 444"/>
              <a:gd name="T31" fmla="*/ 261 h 302"/>
              <a:gd name="T32" fmla="*/ 251 w 444"/>
              <a:gd name="T33" fmla="*/ 262 h 302"/>
              <a:gd name="T34" fmla="*/ 253 w 444"/>
              <a:gd name="T35" fmla="*/ 273 h 302"/>
              <a:gd name="T36" fmla="*/ 258 w 444"/>
              <a:gd name="T37" fmla="*/ 277 h 302"/>
              <a:gd name="T38" fmla="*/ 262 w 444"/>
              <a:gd name="T39" fmla="*/ 286 h 302"/>
              <a:gd name="T40" fmla="*/ 273 w 444"/>
              <a:gd name="T41" fmla="*/ 276 h 302"/>
              <a:gd name="T42" fmla="*/ 279 w 444"/>
              <a:gd name="T43" fmla="*/ 282 h 302"/>
              <a:gd name="T44" fmla="*/ 284 w 444"/>
              <a:gd name="T45" fmla="*/ 288 h 302"/>
              <a:gd name="T46" fmla="*/ 295 w 444"/>
              <a:gd name="T47" fmla="*/ 285 h 302"/>
              <a:gd name="T48" fmla="*/ 297 w 444"/>
              <a:gd name="T49" fmla="*/ 290 h 302"/>
              <a:gd name="T50" fmla="*/ 300 w 444"/>
              <a:gd name="T51" fmla="*/ 297 h 302"/>
              <a:gd name="T52" fmla="*/ 304 w 444"/>
              <a:gd name="T53" fmla="*/ 286 h 302"/>
              <a:gd name="T54" fmla="*/ 309 w 444"/>
              <a:gd name="T55" fmla="*/ 278 h 302"/>
              <a:gd name="T56" fmla="*/ 314 w 444"/>
              <a:gd name="T57" fmla="*/ 280 h 302"/>
              <a:gd name="T58" fmla="*/ 322 w 444"/>
              <a:gd name="T59" fmla="*/ 288 h 302"/>
              <a:gd name="T60" fmla="*/ 330 w 444"/>
              <a:gd name="T61" fmla="*/ 284 h 302"/>
              <a:gd name="T62" fmla="*/ 338 w 444"/>
              <a:gd name="T63" fmla="*/ 293 h 302"/>
              <a:gd name="T64" fmla="*/ 346 w 444"/>
              <a:gd name="T65" fmla="*/ 300 h 302"/>
              <a:gd name="T66" fmla="*/ 353 w 444"/>
              <a:gd name="T67" fmla="*/ 294 h 302"/>
              <a:gd name="T68" fmla="*/ 362 w 444"/>
              <a:gd name="T69" fmla="*/ 286 h 302"/>
              <a:gd name="T70" fmla="*/ 370 w 444"/>
              <a:gd name="T71" fmla="*/ 286 h 302"/>
              <a:gd name="T72" fmla="*/ 378 w 444"/>
              <a:gd name="T73" fmla="*/ 282 h 302"/>
              <a:gd name="T74" fmla="*/ 390 w 444"/>
              <a:gd name="T75" fmla="*/ 284 h 302"/>
              <a:gd name="T76" fmla="*/ 397 w 444"/>
              <a:gd name="T77" fmla="*/ 285 h 302"/>
              <a:gd name="T78" fmla="*/ 402 w 444"/>
              <a:gd name="T79" fmla="*/ 277 h 302"/>
              <a:gd name="T80" fmla="*/ 416 w 444"/>
              <a:gd name="T81" fmla="*/ 285 h 302"/>
              <a:gd name="T82" fmla="*/ 428 w 444"/>
              <a:gd name="T83" fmla="*/ 296 h 302"/>
              <a:gd name="T84" fmla="*/ 444 w 444"/>
              <a:gd name="T85" fmla="*/ 302 h 302"/>
              <a:gd name="T86" fmla="*/ 441 w 444"/>
              <a:gd name="T87" fmla="*/ 128 h 302"/>
              <a:gd name="T88" fmla="*/ 431 w 444"/>
              <a:gd name="T89" fmla="*/ 12 h 302"/>
              <a:gd name="T90" fmla="*/ 249 w 444"/>
              <a:gd name="T91" fmla="*/ 13 h 302"/>
              <a:gd name="T92" fmla="*/ 52 w 444"/>
              <a:gd name="T93" fmla="*/ 5 h 302"/>
              <a:gd name="T94" fmla="*/ 0 w 444"/>
              <a:gd name="T95" fmla="*/ 44 h 302"/>
              <a:gd name="T96" fmla="*/ 0 w 444"/>
              <a:gd name="T97" fmla="*/ 44 h 30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444" h="302">
                <a:moveTo>
                  <a:pt x="0" y="44"/>
                </a:moveTo>
                <a:lnTo>
                  <a:pt x="70" y="49"/>
                </a:lnTo>
                <a:lnTo>
                  <a:pt x="123" y="53"/>
                </a:lnTo>
                <a:lnTo>
                  <a:pt x="145" y="53"/>
                </a:lnTo>
                <a:lnTo>
                  <a:pt x="149" y="53"/>
                </a:lnTo>
                <a:lnTo>
                  <a:pt x="154" y="57"/>
                </a:lnTo>
                <a:lnTo>
                  <a:pt x="150" y="210"/>
                </a:lnTo>
                <a:lnTo>
                  <a:pt x="150" y="220"/>
                </a:lnTo>
                <a:lnTo>
                  <a:pt x="154" y="221"/>
                </a:lnTo>
                <a:lnTo>
                  <a:pt x="158" y="225"/>
                </a:lnTo>
                <a:lnTo>
                  <a:pt x="165" y="236"/>
                </a:lnTo>
                <a:lnTo>
                  <a:pt x="169" y="238"/>
                </a:lnTo>
                <a:lnTo>
                  <a:pt x="173" y="236"/>
                </a:lnTo>
                <a:lnTo>
                  <a:pt x="178" y="238"/>
                </a:lnTo>
                <a:lnTo>
                  <a:pt x="182" y="237"/>
                </a:lnTo>
                <a:lnTo>
                  <a:pt x="184" y="232"/>
                </a:lnTo>
                <a:lnTo>
                  <a:pt x="185" y="234"/>
                </a:lnTo>
                <a:lnTo>
                  <a:pt x="189" y="237"/>
                </a:lnTo>
                <a:lnTo>
                  <a:pt x="192" y="242"/>
                </a:lnTo>
                <a:lnTo>
                  <a:pt x="192" y="248"/>
                </a:lnTo>
                <a:lnTo>
                  <a:pt x="193" y="254"/>
                </a:lnTo>
                <a:lnTo>
                  <a:pt x="197" y="254"/>
                </a:lnTo>
                <a:lnTo>
                  <a:pt x="199" y="254"/>
                </a:lnTo>
                <a:lnTo>
                  <a:pt x="203" y="253"/>
                </a:lnTo>
                <a:lnTo>
                  <a:pt x="208" y="257"/>
                </a:lnTo>
                <a:lnTo>
                  <a:pt x="216" y="261"/>
                </a:lnTo>
                <a:lnTo>
                  <a:pt x="220" y="260"/>
                </a:lnTo>
                <a:lnTo>
                  <a:pt x="224" y="260"/>
                </a:lnTo>
                <a:lnTo>
                  <a:pt x="226" y="264"/>
                </a:lnTo>
                <a:lnTo>
                  <a:pt x="230" y="268"/>
                </a:lnTo>
                <a:lnTo>
                  <a:pt x="234" y="265"/>
                </a:lnTo>
                <a:lnTo>
                  <a:pt x="238" y="261"/>
                </a:lnTo>
                <a:lnTo>
                  <a:pt x="246" y="262"/>
                </a:lnTo>
                <a:lnTo>
                  <a:pt x="251" y="262"/>
                </a:lnTo>
                <a:lnTo>
                  <a:pt x="250" y="268"/>
                </a:lnTo>
                <a:lnTo>
                  <a:pt x="253" y="273"/>
                </a:lnTo>
                <a:lnTo>
                  <a:pt x="257" y="274"/>
                </a:lnTo>
                <a:lnTo>
                  <a:pt x="258" y="277"/>
                </a:lnTo>
                <a:lnTo>
                  <a:pt x="258" y="285"/>
                </a:lnTo>
                <a:lnTo>
                  <a:pt x="262" y="286"/>
                </a:lnTo>
                <a:lnTo>
                  <a:pt x="266" y="284"/>
                </a:lnTo>
                <a:lnTo>
                  <a:pt x="273" y="276"/>
                </a:lnTo>
                <a:lnTo>
                  <a:pt x="277" y="277"/>
                </a:lnTo>
                <a:lnTo>
                  <a:pt x="279" y="282"/>
                </a:lnTo>
                <a:lnTo>
                  <a:pt x="283" y="282"/>
                </a:lnTo>
                <a:lnTo>
                  <a:pt x="284" y="288"/>
                </a:lnTo>
                <a:lnTo>
                  <a:pt x="288" y="289"/>
                </a:lnTo>
                <a:lnTo>
                  <a:pt x="295" y="285"/>
                </a:lnTo>
                <a:lnTo>
                  <a:pt x="299" y="285"/>
                </a:lnTo>
                <a:lnTo>
                  <a:pt x="297" y="290"/>
                </a:lnTo>
                <a:lnTo>
                  <a:pt x="299" y="296"/>
                </a:lnTo>
                <a:lnTo>
                  <a:pt x="300" y="297"/>
                </a:lnTo>
                <a:lnTo>
                  <a:pt x="303" y="297"/>
                </a:lnTo>
                <a:lnTo>
                  <a:pt x="304" y="286"/>
                </a:lnTo>
                <a:lnTo>
                  <a:pt x="309" y="282"/>
                </a:lnTo>
                <a:lnTo>
                  <a:pt x="309" y="278"/>
                </a:lnTo>
                <a:lnTo>
                  <a:pt x="310" y="278"/>
                </a:lnTo>
                <a:lnTo>
                  <a:pt x="314" y="280"/>
                </a:lnTo>
                <a:lnTo>
                  <a:pt x="318" y="285"/>
                </a:lnTo>
                <a:lnTo>
                  <a:pt x="322" y="288"/>
                </a:lnTo>
                <a:lnTo>
                  <a:pt x="326" y="284"/>
                </a:lnTo>
                <a:lnTo>
                  <a:pt x="330" y="284"/>
                </a:lnTo>
                <a:lnTo>
                  <a:pt x="334" y="289"/>
                </a:lnTo>
                <a:lnTo>
                  <a:pt x="338" y="293"/>
                </a:lnTo>
                <a:lnTo>
                  <a:pt x="342" y="294"/>
                </a:lnTo>
                <a:lnTo>
                  <a:pt x="346" y="300"/>
                </a:lnTo>
                <a:lnTo>
                  <a:pt x="348" y="294"/>
                </a:lnTo>
                <a:lnTo>
                  <a:pt x="353" y="294"/>
                </a:lnTo>
                <a:lnTo>
                  <a:pt x="357" y="288"/>
                </a:lnTo>
                <a:lnTo>
                  <a:pt x="362" y="286"/>
                </a:lnTo>
                <a:lnTo>
                  <a:pt x="366" y="282"/>
                </a:lnTo>
                <a:lnTo>
                  <a:pt x="370" y="286"/>
                </a:lnTo>
                <a:lnTo>
                  <a:pt x="374" y="286"/>
                </a:lnTo>
                <a:lnTo>
                  <a:pt x="378" y="282"/>
                </a:lnTo>
                <a:lnTo>
                  <a:pt x="386" y="278"/>
                </a:lnTo>
                <a:lnTo>
                  <a:pt x="390" y="284"/>
                </a:lnTo>
                <a:lnTo>
                  <a:pt x="393" y="285"/>
                </a:lnTo>
                <a:lnTo>
                  <a:pt x="397" y="285"/>
                </a:lnTo>
                <a:lnTo>
                  <a:pt x="400" y="282"/>
                </a:lnTo>
                <a:lnTo>
                  <a:pt x="402" y="277"/>
                </a:lnTo>
                <a:lnTo>
                  <a:pt x="406" y="277"/>
                </a:lnTo>
                <a:lnTo>
                  <a:pt x="416" y="285"/>
                </a:lnTo>
                <a:lnTo>
                  <a:pt x="424" y="294"/>
                </a:lnTo>
                <a:lnTo>
                  <a:pt x="428" y="296"/>
                </a:lnTo>
                <a:lnTo>
                  <a:pt x="432" y="298"/>
                </a:lnTo>
                <a:lnTo>
                  <a:pt x="444" y="302"/>
                </a:lnTo>
                <a:lnTo>
                  <a:pt x="443" y="152"/>
                </a:lnTo>
                <a:lnTo>
                  <a:pt x="441" y="128"/>
                </a:lnTo>
                <a:lnTo>
                  <a:pt x="432" y="55"/>
                </a:lnTo>
                <a:lnTo>
                  <a:pt x="431" y="12"/>
                </a:lnTo>
                <a:lnTo>
                  <a:pt x="367" y="13"/>
                </a:lnTo>
                <a:lnTo>
                  <a:pt x="249" y="13"/>
                </a:lnTo>
                <a:lnTo>
                  <a:pt x="133" y="9"/>
                </a:lnTo>
                <a:lnTo>
                  <a:pt x="52" y="5"/>
                </a:lnTo>
                <a:lnTo>
                  <a:pt x="1" y="0"/>
                </a:lnTo>
                <a:lnTo>
                  <a:pt x="0" y="44"/>
                </a:lnTo>
                <a:lnTo>
                  <a:pt x="0" y="44"/>
                </a:lnTo>
                <a:lnTo>
                  <a:pt x="0" y="44"/>
                </a:lnTo>
                <a:close/>
              </a:path>
            </a:pathLst>
          </a:custGeom>
          <a:solidFill>
            <a:srgbClr val="E75936">
              <a:alpha val="84384"/>
            </a:srgbClr>
          </a:solidFill>
          <a:ln w="9525" cap="flat" cmpd="sng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/>
          <a:lstStyle/>
          <a:p>
            <a:fld id="{70A25E2E-6BB5-4C3C-8E1F-0F2069A975BB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18">
        <xdr:nvSpPr>
          <xdr:cNvPr id="458" name="KS">
            <a:extLst>
              <a:ext uri="{FF2B5EF4-FFF2-40B4-BE49-F238E27FC236}">
                <a16:creationId xmlns:a16="http://schemas.microsoft.com/office/drawing/2014/main" id="{00000000-0008-0000-0100-0000CA010000}"/>
              </a:ext>
            </a:extLst>
          </xdr:cNvPr>
          <xdr:cNvSpPr>
            <a:spLocks/>
          </xdr:cNvSpPr>
        </xdr:nvSpPr>
        <xdr:spPr bwMode="auto">
          <a:xfrm>
            <a:off x="3237891" y="2759595"/>
            <a:ext cx="614642" cy="313764"/>
          </a:xfrm>
          <a:custGeom>
            <a:avLst/>
            <a:gdLst>
              <a:gd name="T0" fmla="*/ 0 w 379"/>
              <a:gd name="T1" fmla="*/ 261 h 269"/>
              <a:gd name="T2" fmla="*/ 81 w 379"/>
              <a:gd name="T3" fmla="*/ 265 h 269"/>
              <a:gd name="T4" fmla="*/ 197 w 379"/>
              <a:gd name="T5" fmla="*/ 269 h 269"/>
              <a:gd name="T6" fmla="*/ 315 w 379"/>
              <a:gd name="T7" fmla="*/ 269 h 269"/>
              <a:gd name="T8" fmla="*/ 379 w 379"/>
              <a:gd name="T9" fmla="*/ 268 h 269"/>
              <a:gd name="T10" fmla="*/ 376 w 379"/>
              <a:gd name="T11" fmla="*/ 83 h 269"/>
              <a:gd name="T12" fmla="*/ 371 w 379"/>
              <a:gd name="T13" fmla="*/ 79 h 269"/>
              <a:gd name="T14" fmla="*/ 368 w 379"/>
              <a:gd name="T15" fmla="*/ 77 h 269"/>
              <a:gd name="T16" fmla="*/ 361 w 379"/>
              <a:gd name="T17" fmla="*/ 67 h 269"/>
              <a:gd name="T18" fmla="*/ 361 w 379"/>
              <a:gd name="T19" fmla="*/ 61 h 269"/>
              <a:gd name="T20" fmla="*/ 357 w 379"/>
              <a:gd name="T21" fmla="*/ 57 h 269"/>
              <a:gd name="T22" fmla="*/ 353 w 379"/>
              <a:gd name="T23" fmla="*/ 49 h 269"/>
              <a:gd name="T24" fmla="*/ 351 w 379"/>
              <a:gd name="T25" fmla="*/ 44 h 269"/>
              <a:gd name="T26" fmla="*/ 356 w 379"/>
              <a:gd name="T27" fmla="*/ 36 h 269"/>
              <a:gd name="T28" fmla="*/ 358 w 379"/>
              <a:gd name="T29" fmla="*/ 31 h 269"/>
              <a:gd name="T30" fmla="*/ 362 w 379"/>
              <a:gd name="T31" fmla="*/ 31 h 269"/>
              <a:gd name="T32" fmla="*/ 362 w 379"/>
              <a:gd name="T33" fmla="*/ 29 h 269"/>
              <a:gd name="T34" fmla="*/ 361 w 379"/>
              <a:gd name="T35" fmla="*/ 23 h 269"/>
              <a:gd name="T36" fmla="*/ 359 w 379"/>
              <a:gd name="T37" fmla="*/ 17 h 269"/>
              <a:gd name="T38" fmla="*/ 356 w 379"/>
              <a:gd name="T39" fmla="*/ 16 h 269"/>
              <a:gd name="T40" fmla="*/ 352 w 379"/>
              <a:gd name="T41" fmla="*/ 20 h 269"/>
              <a:gd name="T42" fmla="*/ 340 w 379"/>
              <a:gd name="T43" fmla="*/ 8 h 269"/>
              <a:gd name="T44" fmla="*/ 256 w 379"/>
              <a:gd name="T45" fmla="*/ 9 h 269"/>
              <a:gd name="T46" fmla="*/ 193 w 379"/>
              <a:gd name="T47" fmla="*/ 8 h 269"/>
              <a:gd name="T48" fmla="*/ 72 w 379"/>
              <a:gd name="T49" fmla="*/ 4 h 269"/>
              <a:gd name="T50" fmla="*/ 9 w 379"/>
              <a:gd name="T51" fmla="*/ 0 h 269"/>
              <a:gd name="T52" fmla="*/ 0 w 379"/>
              <a:gd name="T53" fmla="*/ 261 h 269"/>
              <a:gd name="T54" fmla="*/ 0 w 379"/>
              <a:gd name="T55" fmla="*/ 261 h 269"/>
              <a:gd name="T56" fmla="*/ 0 w 379"/>
              <a:gd name="T57" fmla="*/ 261 h 26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</a:cxnLst>
            <a:rect l="0" t="0" r="r" b="b"/>
            <a:pathLst>
              <a:path w="379" h="269">
                <a:moveTo>
                  <a:pt x="0" y="261"/>
                </a:moveTo>
                <a:lnTo>
                  <a:pt x="81" y="265"/>
                </a:lnTo>
                <a:lnTo>
                  <a:pt x="197" y="269"/>
                </a:lnTo>
                <a:lnTo>
                  <a:pt x="315" y="269"/>
                </a:lnTo>
                <a:lnTo>
                  <a:pt x="379" y="268"/>
                </a:lnTo>
                <a:lnTo>
                  <a:pt x="376" y="83"/>
                </a:lnTo>
                <a:lnTo>
                  <a:pt x="371" y="79"/>
                </a:lnTo>
                <a:lnTo>
                  <a:pt x="368" y="77"/>
                </a:lnTo>
                <a:lnTo>
                  <a:pt x="361" y="67"/>
                </a:lnTo>
                <a:lnTo>
                  <a:pt x="361" y="61"/>
                </a:lnTo>
                <a:lnTo>
                  <a:pt x="357" y="57"/>
                </a:lnTo>
                <a:lnTo>
                  <a:pt x="353" y="49"/>
                </a:lnTo>
                <a:lnTo>
                  <a:pt x="351" y="44"/>
                </a:lnTo>
                <a:lnTo>
                  <a:pt x="356" y="36"/>
                </a:lnTo>
                <a:lnTo>
                  <a:pt x="358" y="31"/>
                </a:lnTo>
                <a:lnTo>
                  <a:pt x="362" y="31"/>
                </a:lnTo>
                <a:lnTo>
                  <a:pt x="362" y="29"/>
                </a:lnTo>
                <a:lnTo>
                  <a:pt x="361" y="23"/>
                </a:lnTo>
                <a:lnTo>
                  <a:pt x="359" y="17"/>
                </a:lnTo>
                <a:lnTo>
                  <a:pt x="356" y="16"/>
                </a:lnTo>
                <a:lnTo>
                  <a:pt x="352" y="20"/>
                </a:lnTo>
                <a:lnTo>
                  <a:pt x="340" y="8"/>
                </a:lnTo>
                <a:lnTo>
                  <a:pt x="256" y="9"/>
                </a:lnTo>
                <a:lnTo>
                  <a:pt x="193" y="8"/>
                </a:lnTo>
                <a:lnTo>
                  <a:pt x="72" y="4"/>
                </a:lnTo>
                <a:lnTo>
                  <a:pt x="9" y="0"/>
                </a:lnTo>
                <a:lnTo>
                  <a:pt x="0" y="261"/>
                </a:lnTo>
                <a:lnTo>
                  <a:pt x="0" y="261"/>
                </a:lnTo>
                <a:lnTo>
                  <a:pt x="0" y="261"/>
                </a:lnTo>
                <a:close/>
              </a:path>
            </a:pathLst>
          </a:custGeom>
          <a:solidFill>
            <a:srgbClr val="E75936">
              <a:alpha val="83845"/>
            </a:srgbClr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1532C27E-1B33-4D67-B83C-554EA2EF7169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 </a:t>
            </a:fld>
            <a:endParaRPr lang="zh-CN" altLang="en-US" b="0">
              <a:solidFill>
                <a:schemeClr val="tx1"/>
              </a:solidFill>
            </a:endParaRPr>
          </a:p>
        </xdr:txBody>
      </xdr:sp>
      <xdr:sp macro="" textlink="index!P10">
        <xdr:nvSpPr>
          <xdr:cNvPr id="497" name="DC">
            <a:extLst>
              <a:ext uri="{FF2B5EF4-FFF2-40B4-BE49-F238E27FC236}">
                <a16:creationId xmlns:a16="http://schemas.microsoft.com/office/drawing/2014/main" id="{00000000-0008-0000-0100-0000F1010000}"/>
              </a:ext>
            </a:extLst>
          </xdr:cNvPr>
          <xdr:cNvSpPr>
            <a:spLocks/>
          </xdr:cNvSpPr>
        </xdr:nvSpPr>
        <xdr:spPr bwMode="auto">
          <a:xfrm>
            <a:off x="5254097" y="2717012"/>
            <a:ext cx="19050" cy="9525"/>
          </a:xfrm>
          <a:custGeom>
            <a:avLst/>
            <a:gdLst>
              <a:gd name="T0" fmla="*/ 0 w 10"/>
              <a:gd name="T1" fmla="*/ 4 h 15"/>
              <a:gd name="T2" fmla="*/ 4 w 10"/>
              <a:gd name="T3" fmla="*/ 7 h 15"/>
              <a:gd name="T4" fmla="*/ 7 w 10"/>
              <a:gd name="T5" fmla="*/ 9 h 15"/>
              <a:gd name="T6" fmla="*/ 7 w 10"/>
              <a:gd name="T7" fmla="*/ 15 h 15"/>
              <a:gd name="T8" fmla="*/ 10 w 10"/>
              <a:gd name="T9" fmla="*/ 9 h 15"/>
              <a:gd name="T10" fmla="*/ 10 w 10"/>
              <a:gd name="T11" fmla="*/ 5 h 15"/>
              <a:gd name="T12" fmla="*/ 5 w 10"/>
              <a:gd name="T13" fmla="*/ 0 h 15"/>
              <a:gd name="T14" fmla="*/ 0 w 10"/>
              <a:gd name="T15" fmla="*/ 4 h 15"/>
              <a:gd name="T16" fmla="*/ 0 w 10"/>
              <a:gd name="T17" fmla="*/ 4 h 15"/>
              <a:gd name="T18" fmla="*/ 0 w 10"/>
              <a:gd name="T19" fmla="*/ 4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10" h="15">
                <a:moveTo>
                  <a:pt x="0" y="4"/>
                </a:moveTo>
                <a:lnTo>
                  <a:pt x="4" y="7"/>
                </a:lnTo>
                <a:lnTo>
                  <a:pt x="7" y="9"/>
                </a:lnTo>
                <a:lnTo>
                  <a:pt x="7" y="15"/>
                </a:lnTo>
                <a:lnTo>
                  <a:pt x="10" y="9"/>
                </a:lnTo>
                <a:lnTo>
                  <a:pt x="10" y="5"/>
                </a:lnTo>
                <a:lnTo>
                  <a:pt x="5" y="0"/>
                </a:lnTo>
                <a:lnTo>
                  <a:pt x="0" y="4"/>
                </a:lnTo>
                <a:lnTo>
                  <a:pt x="0" y="4"/>
                </a:lnTo>
                <a:lnTo>
                  <a:pt x="0" y="4"/>
                </a:lnTo>
                <a:close/>
              </a:path>
            </a:pathLst>
          </a:custGeom>
          <a:solidFill>
            <a:srgbClr val="E75936">
              <a:alpha val="60515"/>
            </a:srgbClr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/>
            <a:tailEnd/>
          </a:ln>
        </xdr:spPr>
        <xdr:txBody>
          <a:bodyPr/>
          <a:lstStyle/>
          <a:p>
            <a:fld id="{9F8D8091-5392-4819-B5FF-B0F6CDEA19D9}" type="TxLink">
              <a:rPr lang="en-US" altLang="en-US" sz="1100" b="0" i="0" u="none" strike="noStrike">
                <a:solidFill>
                  <a:schemeClr val="tx1"/>
                </a:solidFill>
                <a:latin typeface="Calibri"/>
              </a:rPr>
              <a:pPr/>
              <a:t>DC
58.4</a:t>
            </a:fld>
            <a:endParaRPr lang="zh-CN" altLang="en-US" b="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查询来自 Excel Files" adjustColumnWidth="0" connectionId="1" xr16:uid="{00000000-0016-0000-0300-000000000000}" autoFormatId="16" applyNumberFormats="0" applyBorderFormats="0" applyFontFormats="0" applyPatternFormats="0" applyAlignmentFormats="0" applyWidthHeightFormats="0">
  <queryTableRefresh nextId="57">
    <queryTableFields count="56">
      <queryTableField id="1" name="date" tableColumnId="1"/>
      <queryTableField id="2" name="from/to" tableColumnId="2"/>
      <queryTableField id="3" name="Coda" tableColumnId="3"/>
      <queryTableField id="4" name="name-cn" tableColumnId="4"/>
      <queryTableField id="5" name="Alabama" tableColumnId="5"/>
      <queryTableField id="6" name="Alaska" tableColumnId="6"/>
      <queryTableField id="7" name="Arizona" tableColumnId="7"/>
      <queryTableField id="8" name="Arkansas" tableColumnId="8"/>
      <queryTableField id="9" name="California" tableColumnId="9"/>
      <queryTableField id="10" name="Colorado" tableColumnId="10"/>
      <queryTableField id="11" name="Connecticut" tableColumnId="11"/>
      <queryTableField id="12" name="Delaware" tableColumnId="12"/>
      <queryTableField id="13" name="District of Columbia " tableColumnId="13"/>
      <queryTableField id="14" name="Florida" tableColumnId="14"/>
      <queryTableField id="15" name="Georgia" tableColumnId="15"/>
      <queryTableField id="16" name="Hawaii" tableColumnId="16"/>
      <queryTableField id="17" name="Idaho" tableColumnId="17"/>
      <queryTableField id="18" name="Illinois" tableColumnId="18"/>
      <queryTableField id="19" name="Indiana" tableColumnId="19"/>
      <queryTableField id="20" name="Iowa" tableColumnId="20"/>
      <queryTableField id="21" name="Kansas" tableColumnId="21"/>
      <queryTableField id="22" name="Kentucky" tableColumnId="22"/>
      <queryTableField id="23" name="Louisiana" tableColumnId="23"/>
      <queryTableField id="24" name="Maine" tableColumnId="24"/>
      <queryTableField id="25" name="Maryland" tableColumnId="25"/>
      <queryTableField id="26" name="Massachusetts" tableColumnId="26"/>
      <queryTableField id="27" name="Michigan" tableColumnId="27"/>
      <queryTableField id="28" name="Minnesota" tableColumnId="28"/>
      <queryTableField id="29" name="Mississippi" tableColumnId="29"/>
      <queryTableField id="30" name="Missouri" tableColumnId="30"/>
      <queryTableField id="31" name="Montana" tableColumnId="31"/>
      <queryTableField id="32" name="Nebraska" tableColumnId="32"/>
      <queryTableField id="33" name="Nevada" tableColumnId="33"/>
      <queryTableField id="34" name="New Hampshire" tableColumnId="34"/>
      <queryTableField id="35" name="New Jersey" tableColumnId="35"/>
      <queryTableField id="36" name="New Mexico" tableColumnId="36"/>
      <queryTableField id="37" name="New York" tableColumnId="37"/>
      <queryTableField id="38" name="North Carolina" tableColumnId="38"/>
      <queryTableField id="39" name="North Dakota" tableColumnId="39"/>
      <queryTableField id="40" name="Ohio" tableColumnId="40"/>
      <queryTableField id="41" name="Oklahoma" tableColumnId="41"/>
      <queryTableField id="42" name="Oregon" tableColumnId="42"/>
      <queryTableField id="43" name="Pennsylvania" tableColumnId="43"/>
      <queryTableField id="44" name="Rhode Island" tableColumnId="44"/>
      <queryTableField id="45" name="South Carolina" tableColumnId="45"/>
      <queryTableField id="46" name="South Dakota" tableColumnId="46"/>
      <queryTableField id="47" name="Tennessee" tableColumnId="47"/>
      <queryTableField id="48" name="Texas" tableColumnId="48"/>
      <queryTableField id="49" name="Utah" tableColumnId="49"/>
      <queryTableField id="50" name="Vermont" tableColumnId="50"/>
      <queryTableField id="51" name="Virginia" tableColumnId="51"/>
      <queryTableField id="52" name="Washington" tableColumnId="52"/>
      <queryTableField id="53" name="West Virginia" tableColumnId="53"/>
      <queryTableField id="54" name="Wisconsin" tableColumnId="54"/>
      <queryTableField id="55" name="Wyoming" tableColumnId="55"/>
      <queryTableField id="56" name="Puerto Rico" tableColumnId="5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_查询来自_Excel_Files" displayName="表_查询来自_Excel_Files" ref="B4:BE56" tableType="queryTable" totalsRowShown="0" headerRowDxfId="57" dataDxfId="56">
  <tableColumns count="56">
    <tableColumn id="1" xr3:uid="{00000000-0010-0000-0000-000001000000}" uniqueName="1" name="date" queryTableFieldId="1" dataDxfId="55"/>
    <tableColumn id="2" xr3:uid="{00000000-0010-0000-0000-000002000000}" uniqueName="2" name="from/to" queryTableFieldId="2" dataDxfId="54"/>
    <tableColumn id="3" xr3:uid="{00000000-0010-0000-0000-000003000000}" uniqueName="3" name="Coda" queryTableFieldId="3" dataDxfId="53"/>
    <tableColumn id="4" xr3:uid="{00000000-0010-0000-0000-000004000000}" uniqueName="4" name="name-cn" queryTableFieldId="4" dataDxfId="52"/>
    <tableColumn id="5" xr3:uid="{00000000-0010-0000-0000-000005000000}" uniqueName="5" name="Alabama" queryTableFieldId="5" dataDxfId="51"/>
    <tableColumn id="6" xr3:uid="{00000000-0010-0000-0000-000006000000}" uniqueName="6" name="Alaska" queryTableFieldId="6" dataDxfId="50"/>
    <tableColumn id="7" xr3:uid="{00000000-0010-0000-0000-000007000000}" uniqueName="7" name="Arizona" queryTableFieldId="7" dataDxfId="49"/>
    <tableColumn id="8" xr3:uid="{00000000-0010-0000-0000-000008000000}" uniqueName="8" name="Arkansas" queryTableFieldId="8" dataDxfId="48"/>
    <tableColumn id="9" xr3:uid="{00000000-0010-0000-0000-000009000000}" uniqueName="9" name="California" queryTableFieldId="9" dataDxfId="47"/>
    <tableColumn id="10" xr3:uid="{00000000-0010-0000-0000-00000A000000}" uniqueName="10" name="Colorado" queryTableFieldId="10" dataDxfId="46"/>
    <tableColumn id="11" xr3:uid="{00000000-0010-0000-0000-00000B000000}" uniqueName="11" name="Connecticut" queryTableFieldId="11" dataDxfId="45"/>
    <tableColumn id="12" xr3:uid="{00000000-0010-0000-0000-00000C000000}" uniqueName="12" name="Delaware" queryTableFieldId="12" dataDxfId="44"/>
    <tableColumn id="13" xr3:uid="{00000000-0010-0000-0000-00000D000000}" uniqueName="13" name="District of Columbia " queryTableFieldId="13" dataDxfId="43"/>
    <tableColumn id="14" xr3:uid="{00000000-0010-0000-0000-00000E000000}" uniqueName="14" name="Florida" queryTableFieldId="14" dataDxfId="42"/>
    <tableColumn id="15" xr3:uid="{00000000-0010-0000-0000-00000F000000}" uniqueName="15" name="Georgia" queryTableFieldId="15" dataDxfId="41"/>
    <tableColumn id="16" xr3:uid="{00000000-0010-0000-0000-000010000000}" uniqueName="16" name="Hawaii" queryTableFieldId="16" dataDxfId="40"/>
    <tableColumn id="17" xr3:uid="{00000000-0010-0000-0000-000011000000}" uniqueName="17" name="Idaho" queryTableFieldId="17" dataDxfId="39"/>
    <tableColumn id="18" xr3:uid="{00000000-0010-0000-0000-000012000000}" uniqueName="18" name="Illinois" queryTableFieldId="18" dataDxfId="38"/>
    <tableColumn id="19" xr3:uid="{00000000-0010-0000-0000-000013000000}" uniqueName="19" name="Indiana" queryTableFieldId="19" dataDxfId="37"/>
    <tableColumn id="20" xr3:uid="{00000000-0010-0000-0000-000014000000}" uniqueName="20" name="Iowa" queryTableFieldId="20" dataDxfId="36"/>
    <tableColumn id="21" xr3:uid="{00000000-0010-0000-0000-000015000000}" uniqueName="21" name="Kansas" queryTableFieldId="21" dataDxfId="35"/>
    <tableColumn id="22" xr3:uid="{00000000-0010-0000-0000-000016000000}" uniqueName="22" name="Kentucky" queryTableFieldId="22" dataDxfId="34"/>
    <tableColumn id="23" xr3:uid="{00000000-0010-0000-0000-000017000000}" uniqueName="23" name="Louisiana" queryTableFieldId="23" dataDxfId="33"/>
    <tableColumn id="24" xr3:uid="{00000000-0010-0000-0000-000018000000}" uniqueName="24" name="Maine" queryTableFieldId="24" dataDxfId="32"/>
    <tableColumn id="25" xr3:uid="{00000000-0010-0000-0000-000019000000}" uniqueName="25" name="Maryland" queryTableFieldId="25" dataDxfId="31"/>
    <tableColumn id="26" xr3:uid="{00000000-0010-0000-0000-00001A000000}" uniqueName="26" name="Massachusetts" queryTableFieldId="26" dataDxfId="30"/>
    <tableColumn id="27" xr3:uid="{00000000-0010-0000-0000-00001B000000}" uniqueName="27" name="Michigan" queryTableFieldId="27" dataDxfId="29"/>
    <tableColumn id="28" xr3:uid="{00000000-0010-0000-0000-00001C000000}" uniqueName="28" name="Minnesota" queryTableFieldId="28" dataDxfId="28"/>
    <tableColumn id="29" xr3:uid="{00000000-0010-0000-0000-00001D000000}" uniqueName="29" name="Mississippi" queryTableFieldId="29" dataDxfId="27"/>
    <tableColumn id="30" xr3:uid="{00000000-0010-0000-0000-00001E000000}" uniqueName="30" name="Missouri" queryTableFieldId="30" dataDxfId="26"/>
    <tableColumn id="31" xr3:uid="{00000000-0010-0000-0000-00001F000000}" uniqueName="31" name="Montana" queryTableFieldId="31" dataDxfId="25"/>
    <tableColumn id="32" xr3:uid="{00000000-0010-0000-0000-000020000000}" uniqueName="32" name="Nebraska" queryTableFieldId="32" dataDxfId="24"/>
    <tableColumn id="33" xr3:uid="{00000000-0010-0000-0000-000021000000}" uniqueName="33" name="Nevada" queryTableFieldId="33" dataDxfId="23"/>
    <tableColumn id="34" xr3:uid="{00000000-0010-0000-0000-000022000000}" uniqueName="34" name="New Hampshire" queryTableFieldId="34" dataDxfId="22"/>
    <tableColumn id="35" xr3:uid="{00000000-0010-0000-0000-000023000000}" uniqueName="35" name="New Jersey" queryTableFieldId="35" dataDxfId="21"/>
    <tableColumn id="36" xr3:uid="{00000000-0010-0000-0000-000024000000}" uniqueName="36" name="New Mexico" queryTableFieldId="36" dataDxfId="20"/>
    <tableColumn id="37" xr3:uid="{00000000-0010-0000-0000-000025000000}" uniqueName="37" name="New York" queryTableFieldId="37" dataDxfId="19"/>
    <tableColumn id="38" xr3:uid="{00000000-0010-0000-0000-000026000000}" uniqueName="38" name="North Carolina" queryTableFieldId="38" dataDxfId="18"/>
    <tableColumn id="39" xr3:uid="{00000000-0010-0000-0000-000027000000}" uniqueName="39" name="North Dakota" queryTableFieldId="39" dataDxfId="17"/>
    <tableColumn id="40" xr3:uid="{00000000-0010-0000-0000-000028000000}" uniqueName="40" name="Ohio" queryTableFieldId="40" dataDxfId="16"/>
    <tableColumn id="41" xr3:uid="{00000000-0010-0000-0000-000029000000}" uniqueName="41" name="Oklahoma" queryTableFieldId="41" dataDxfId="15"/>
    <tableColumn id="42" xr3:uid="{00000000-0010-0000-0000-00002A000000}" uniqueName="42" name="Oregon" queryTableFieldId="42" dataDxfId="14"/>
    <tableColumn id="43" xr3:uid="{00000000-0010-0000-0000-00002B000000}" uniqueName="43" name="Pennsylvania" queryTableFieldId="43" dataDxfId="13"/>
    <tableColumn id="44" xr3:uid="{00000000-0010-0000-0000-00002C000000}" uniqueName="44" name="Rhode Island" queryTableFieldId="44" dataDxfId="12"/>
    <tableColumn id="45" xr3:uid="{00000000-0010-0000-0000-00002D000000}" uniqueName="45" name="South Carolina" queryTableFieldId="45" dataDxfId="11"/>
    <tableColumn id="46" xr3:uid="{00000000-0010-0000-0000-00002E000000}" uniqueName="46" name="South Dakota" queryTableFieldId="46" dataDxfId="10"/>
    <tableColumn id="47" xr3:uid="{00000000-0010-0000-0000-00002F000000}" uniqueName="47" name="Tennessee" queryTableFieldId="47" dataDxfId="9"/>
    <tableColumn id="48" xr3:uid="{00000000-0010-0000-0000-000030000000}" uniqueName="48" name="Texas" queryTableFieldId="48" dataDxfId="8"/>
    <tableColumn id="49" xr3:uid="{00000000-0010-0000-0000-000031000000}" uniqueName="49" name="Utah" queryTableFieldId="49" dataDxfId="7"/>
    <tableColumn id="50" xr3:uid="{00000000-0010-0000-0000-000032000000}" uniqueName="50" name="Vermont" queryTableFieldId="50" dataDxfId="6"/>
    <tableColumn id="51" xr3:uid="{00000000-0010-0000-0000-000033000000}" uniqueName="51" name="Virginia" queryTableFieldId="51" dataDxfId="5"/>
    <tableColumn id="52" xr3:uid="{00000000-0010-0000-0000-000034000000}" uniqueName="52" name="Washington" queryTableFieldId="52" dataDxfId="4"/>
    <tableColumn id="53" xr3:uid="{00000000-0010-0000-0000-000035000000}" uniqueName="53" name="West Virginia" queryTableFieldId="53" dataDxfId="3"/>
    <tableColumn id="54" xr3:uid="{00000000-0010-0000-0000-000036000000}" uniqueName="54" name="Wisconsin" queryTableFieldId="54" dataDxfId="2"/>
    <tableColumn id="55" xr3:uid="{00000000-0010-0000-0000-000037000000}" uniqueName="55" name="Wyoming" queryTableFieldId="55" dataDxfId="1"/>
    <tableColumn id="56" xr3:uid="{00000000-0010-0000-0000-000038000000}" uniqueName="56" name="Puerto Rico" queryTableFieldId="56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经济学人主题色1">
      <a:dk1>
        <a:sysClr val="windowText" lastClr="000000"/>
      </a:dk1>
      <a:lt1>
        <a:sysClr val="window" lastClr="FFFFFF"/>
      </a:lt1>
      <a:dk2>
        <a:srgbClr val="44546A"/>
      </a:dk2>
      <a:lt2>
        <a:srgbClr val="CDDDE6"/>
      </a:lt2>
      <a:accent1>
        <a:srgbClr val="5D91A7"/>
      </a:accent1>
      <a:accent2>
        <a:srgbClr val="00516C"/>
      </a:accent2>
      <a:accent3>
        <a:srgbClr val="00A4DC"/>
      </a:accent3>
      <a:accent4>
        <a:srgbClr val="6BCFF6"/>
      </a:accent4>
      <a:accent5>
        <a:srgbClr val="008982"/>
      </a:accent5>
      <a:accent6>
        <a:srgbClr val="7A250F"/>
      </a:accent6>
      <a:hlink>
        <a:srgbClr val="0563C1"/>
      </a:hlink>
      <a:folHlink>
        <a:srgbClr val="954F72"/>
      </a:folHlink>
    </a:clrScheme>
    <a:fontScheme name="表格字体">
      <a:majorFont>
        <a:latin typeface="Arial Black"/>
        <a:ea typeface="Calibri"/>
        <a:cs typeface=""/>
      </a:majorFont>
      <a:minorFont>
        <a:latin typeface="Calibri"/>
        <a:ea typeface="Calibr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B53"/>
  <sheetViews>
    <sheetView showGridLines="0" topLeftCell="G1" zoomScaleNormal="100" workbookViewId="0">
      <selection activeCell="O7" sqref="O7"/>
    </sheetView>
  </sheetViews>
  <sheetFormatPr defaultRowHeight="14.4" x14ac:dyDescent="0.3"/>
  <cols>
    <col min="1" max="1" width="1.88671875" customWidth="1"/>
    <col min="2" max="2" width="20.6640625" bestFit="1" customWidth="1"/>
    <col min="3" max="3" width="6.5546875" bestFit="1" customWidth="1"/>
    <col min="4" max="4" width="15.109375" bestFit="1" customWidth="1"/>
    <col min="5" max="5" width="0.5546875" customWidth="1"/>
    <col min="6" max="8" width="12.5546875" style="21" customWidth="1"/>
    <col min="9" max="9" width="1.5546875" customWidth="1"/>
    <col min="13" max="13" width="1.33203125" customWidth="1"/>
    <col min="14" max="14" width="11.109375" style="21" customWidth="1"/>
    <col min="15" max="16" width="12.5546875" style="42" customWidth="1"/>
    <col min="17" max="17" width="2" customWidth="1"/>
    <col min="18" max="18" width="10.88671875" style="21" customWidth="1"/>
    <col min="19" max="19" width="10.88671875" style="55" customWidth="1"/>
    <col min="20" max="20" width="4.33203125" customWidth="1"/>
    <col min="21" max="24" width="8" style="21" customWidth="1"/>
    <col min="25" max="26" width="9.109375" style="21" customWidth="1"/>
    <col min="27" max="28" width="8" style="21" customWidth="1"/>
  </cols>
  <sheetData>
    <row r="1" spans="2:28" ht="16.2" thickBot="1" x14ac:dyDescent="0.35">
      <c r="B1" s="1" t="s">
        <v>0</v>
      </c>
      <c r="C1" s="2" t="s">
        <v>1</v>
      </c>
      <c r="D1" s="2" t="s">
        <v>107</v>
      </c>
      <c r="E1" s="2"/>
      <c r="F1" s="22" t="s">
        <v>166</v>
      </c>
      <c r="G1" s="22" t="s">
        <v>167</v>
      </c>
      <c r="H1" s="22" t="s">
        <v>168</v>
      </c>
      <c r="J1" s="30"/>
      <c r="K1" s="31"/>
      <c r="L1" s="32"/>
      <c r="N1" s="37" t="s">
        <v>170</v>
      </c>
      <c r="O1" s="38" t="s">
        <v>169</v>
      </c>
      <c r="P1" s="38" t="s">
        <v>174</v>
      </c>
      <c r="R1" s="22" t="str">
        <f>INDEX($B$2:$C$53,MATCH(cur_region,$C$2:$C$53,0),1)</f>
        <v xml:space="preserve">District of Columbia </v>
      </c>
      <c r="S1" s="22" t="str">
        <f>C1</f>
        <v>Code</v>
      </c>
      <c r="U1" s="58" t="s">
        <v>187</v>
      </c>
      <c r="V1" s="56" t="s">
        <v>189</v>
      </c>
      <c r="W1" s="57" t="s">
        <v>191</v>
      </c>
      <c r="X1" s="56" t="s">
        <v>190</v>
      </c>
      <c r="Y1" s="57" t="s">
        <v>193</v>
      </c>
      <c r="Z1" s="57" t="s">
        <v>192</v>
      </c>
      <c r="AA1" s="60" t="s">
        <v>188</v>
      </c>
      <c r="AB1" s="60" t="s">
        <v>194</v>
      </c>
    </row>
    <row r="2" spans="2:28" x14ac:dyDescent="0.3">
      <c r="B2" s="3" t="s">
        <v>2</v>
      </c>
      <c r="C2" s="4" t="s">
        <v>3</v>
      </c>
      <c r="D2" s="4" t="s">
        <v>115</v>
      </c>
      <c r="F2" s="27">
        <f>CHOOSE(LOOKUP(data1!$D$1,{"2014",1;"2015",2;"2016",3}),data1!G5,data1!J5,data1!M5)</f>
        <v>46.582625872626259</v>
      </c>
      <c r="G2" s="27">
        <f>CHOOSE(LOOKUP(data1!$D$1,{"2014",1;"2015",2;"2016",3}),data1!H5,data1!K5,data1!N5)</f>
        <v>41.892549080467091</v>
      </c>
      <c r="H2" s="27">
        <f>CHOOSE(LOOKUP(data1!$D$1,{"2014",1;"2015",2;"2016",3}),data1!I5,data1!L5,data1!O5)</f>
        <v>29.462239456276873</v>
      </c>
      <c r="N2" s="27">
        <f t="shared" ref="N2:N33" si="0">INDEX(F2:H2,cur_sel_id)</f>
        <v>41.892549080467091</v>
      </c>
      <c r="O2" s="39">
        <f t="shared" ref="O2:O33" si="1">IFERROR(((MAXX-N2)/(MAXX-MINX))*0.95,0.05)</f>
        <v>0.55236958825064464</v>
      </c>
      <c r="P2" s="39" t="str">
        <f t="shared" ref="P2:P33" si="2">IF(C2=cur_region,cur_label,"")</f>
        <v/>
      </c>
      <c r="R2" s="27">
        <f ca="1">INDIRECT("data1!"&amp;ADDRESS(ROW(A5),MATCH($R$1,表_查询来自_Excel_Files[[#Headers],[Alabama]:[Puerto Rico]],0)+5,3))</f>
        <v>41.371257049039031</v>
      </c>
      <c r="S2" s="52" t="str">
        <f t="shared" ref="S2:S53" si="3">C2</f>
        <v>AL</v>
      </c>
      <c r="U2" s="27" t="str">
        <f ca="1">VLOOKUP(V2,$R$2:$S$53,2,0)</f>
        <v>IA</v>
      </c>
      <c r="V2" s="27">
        <f ca="1">SMALL($R$2:$R$53,ROW(A1))</f>
        <v>0.19818681285916906</v>
      </c>
      <c r="W2" s="27" t="str">
        <f>IF(ISODD(ROW()),U2,"")</f>
        <v/>
      </c>
      <c r="X2" s="27" t="str">
        <f ca="1">IF(ISEVEN(ROW()),U2,"")</f>
        <v>IA</v>
      </c>
      <c r="Y2" s="27" t="str">
        <f t="shared" ref="Y2:Y33" ca="1" si="4">IF(cur_region=U2,V2,"")</f>
        <v/>
      </c>
      <c r="Z2" s="27">
        <f ca="1">AVERAGE($V$2:$V$53)</f>
        <v>46.848839013636628</v>
      </c>
      <c r="AA2" s="27">
        <v>1</v>
      </c>
      <c r="AB2" s="27">
        <v>0</v>
      </c>
    </row>
    <row r="3" spans="2:28" x14ac:dyDescent="0.3">
      <c r="B3" s="5" t="s">
        <v>4</v>
      </c>
      <c r="C3" s="6" t="s">
        <v>5</v>
      </c>
      <c r="D3" s="6" t="s">
        <v>116</v>
      </c>
      <c r="F3" s="28">
        <f>CHOOSE(LOOKUP(data1!$D$1,{"2014",1;"2015",2;"2016",3}),data1!G6,data1!J6,data1!M6)</f>
        <v>18.278213159739853</v>
      </c>
      <c r="G3" s="28">
        <f>CHOOSE(LOOKUP(data1!$D$1,{"2014",1;"2015",2;"2016",3}),data1!H6,data1!K6,data1!N6)</f>
        <v>51.841136340591888</v>
      </c>
      <c r="H3" s="28">
        <f>CHOOSE(LOOKUP(data1!$D$1,{"2014",1;"2015",2;"2016",3}),data1!I6,data1!L6,data1!O6)</f>
        <v>74.08797379619358</v>
      </c>
      <c r="I3" s="36">
        <f>MAX(index!$N$2:$N$53)</f>
        <v>99.879102640260015</v>
      </c>
      <c r="J3" s="33" t="s">
        <v>200</v>
      </c>
      <c r="K3" s="44" t="s">
        <v>175</v>
      </c>
      <c r="N3" s="28">
        <f t="shared" si="0"/>
        <v>51.841136340591888</v>
      </c>
      <c r="O3" s="40">
        <f t="shared" si="1"/>
        <v>0.4576011167482944</v>
      </c>
      <c r="P3" s="40" t="str">
        <f t="shared" si="2"/>
        <v/>
      </c>
      <c r="R3" s="28">
        <f ca="1">INDIRECT("data1!"&amp;ADDRESS(ROW(A6),MATCH($R$1,表_查询来自_Excel_Files[[#Headers],[Alabama]:[Puerto Rico]],0)+5,3))</f>
        <v>26.253958113212139</v>
      </c>
      <c r="S3" s="53" t="str">
        <f t="shared" si="3"/>
        <v>AK</v>
      </c>
      <c r="U3" s="28" t="str">
        <f t="shared" ref="U3:U53" ca="1" si="5">VLOOKUP(V3,$R$2:$S$53,2,0)</f>
        <v>WY</v>
      </c>
      <c r="V3" s="28">
        <f t="shared" ref="V3:V53" ca="1" si="6">SMALL($R$2:$R$53,ROW(A2))</f>
        <v>2.1219650531538625</v>
      </c>
      <c r="W3" s="28" t="str">
        <f ca="1">IF(ISODD(ROW()),U3,"")</f>
        <v>WY</v>
      </c>
      <c r="X3" s="28" t="str">
        <f t="shared" ref="X3:X53" si="7">IF(ISEVEN(ROW()),U3,"")</f>
        <v/>
      </c>
      <c r="Y3" s="28" t="str">
        <f t="shared" ca="1" si="4"/>
        <v/>
      </c>
      <c r="Z3" s="28">
        <f ca="1">AVERAGE($V$2:$V$53)</f>
        <v>46.848839013636628</v>
      </c>
      <c r="AA3" s="28">
        <v>2</v>
      </c>
      <c r="AB3" s="28">
        <v>0</v>
      </c>
    </row>
    <row r="4" spans="2:28" x14ac:dyDescent="0.3">
      <c r="B4" s="7" t="s">
        <v>6</v>
      </c>
      <c r="C4" s="8" t="s">
        <v>7</v>
      </c>
      <c r="D4" s="8" t="s">
        <v>117</v>
      </c>
      <c r="F4" s="29">
        <f>CHOOSE(LOOKUP(data1!$D$1,{"2014",1;"2015",2;"2016",3}),data1!G7,data1!J7,data1!M7)</f>
        <v>37.04086189103073</v>
      </c>
      <c r="G4" s="29">
        <f>CHOOSE(LOOKUP(data1!$D$1,{"2014",1;"2015",2;"2016",3}),data1!H7,data1!K7,data1!N7)</f>
        <v>7.8440012694233392</v>
      </c>
      <c r="H4" s="29">
        <f>CHOOSE(LOOKUP(data1!$D$1,{"2014",1;"2015",2;"2016",3}),data1!I7,data1!L7,data1!O7)</f>
        <v>3.825605408502819</v>
      </c>
      <c r="I4" s="35">
        <f>MIN(index!$N$2:$N$53)</f>
        <v>0.15017647641271115</v>
      </c>
      <c r="J4" s="34">
        <f>MATCH(cur_sel,F1:H1,0)</f>
        <v>2</v>
      </c>
      <c r="K4" s="44" t="s">
        <v>176</v>
      </c>
      <c r="N4" s="29">
        <f t="shared" si="0"/>
        <v>7.8440012694233392</v>
      </c>
      <c r="O4" s="41">
        <f t="shared" si="1"/>
        <v>0.87670999443680231</v>
      </c>
      <c r="P4" s="41" t="str">
        <f t="shared" si="2"/>
        <v/>
      </c>
      <c r="R4" s="29">
        <f ca="1">INDIRECT("data1!"&amp;ADDRESS(ROW(A7),MATCH($R$1,表_查询来自_Excel_Files[[#Headers],[Alabama]:[Puerto Rico]],0)+5,3))</f>
        <v>6.0637406002294174</v>
      </c>
      <c r="S4" s="54" t="str">
        <f t="shared" si="3"/>
        <v>AZ</v>
      </c>
      <c r="U4" s="29" t="str">
        <f t="shared" ca="1" si="5"/>
        <v>ND</v>
      </c>
      <c r="V4" s="29">
        <f t="shared" ca="1" si="6"/>
        <v>3.0503631718194146</v>
      </c>
      <c r="W4" s="29" t="str">
        <f t="shared" ref="W4:W53" si="8">IF(ISODD(ROW()),U4,"")</f>
        <v/>
      </c>
      <c r="X4" s="29" t="str">
        <f t="shared" ca="1" si="7"/>
        <v>ND</v>
      </c>
      <c r="Y4" s="29" t="str">
        <f t="shared" ca="1" si="4"/>
        <v/>
      </c>
      <c r="Z4" s="29">
        <f t="shared" ref="Z4:Z53" ca="1" si="9">AVERAGE($V$2:$V$53)</f>
        <v>46.848839013636628</v>
      </c>
      <c r="AA4" s="29">
        <v>3</v>
      </c>
      <c r="AB4" s="29">
        <v>0</v>
      </c>
    </row>
    <row r="5" spans="2:28" x14ac:dyDescent="0.3">
      <c r="B5" s="5" t="s">
        <v>8</v>
      </c>
      <c r="C5" s="6" t="s">
        <v>9</v>
      </c>
      <c r="D5" s="6" t="s">
        <v>118</v>
      </c>
      <c r="F5" s="28">
        <f>CHOOSE(LOOKUP(data1!$D$1,{"2014",1;"2015",2;"2016",3}),data1!G8,data1!J8,data1!M8)</f>
        <v>77.219822683260801</v>
      </c>
      <c r="G5" s="28">
        <f>CHOOSE(LOOKUP(data1!$D$1,{"2014",1;"2015",2;"2016",3}),data1!H8,data1!K8,data1!N8)</f>
        <v>36.909251105238951</v>
      </c>
      <c r="H5" s="28">
        <f>CHOOSE(LOOKUP(data1!$D$1,{"2014",1;"2015",2;"2016",3}),data1!I8,data1!L8,data1!O8)</f>
        <v>8.5342872596276269</v>
      </c>
      <c r="J5" s="6"/>
      <c r="K5" s="45"/>
      <c r="N5" s="28">
        <f t="shared" si="0"/>
        <v>36.909251105238951</v>
      </c>
      <c r="O5" s="40">
        <f t="shared" si="1"/>
        <v>0.59983959779119556</v>
      </c>
      <c r="P5" s="40" t="str">
        <f t="shared" si="2"/>
        <v/>
      </c>
      <c r="R5" s="28">
        <f ca="1">INDIRECT("data1!"&amp;ADDRESS(ROW(A8),MATCH($R$1,表_查询来自_Excel_Files[[#Headers],[Alabama]:[Puerto Rico]],0)+5,3))</f>
        <v>29.951371092920297</v>
      </c>
      <c r="S5" s="53" t="str">
        <f t="shared" si="3"/>
        <v>AR</v>
      </c>
      <c r="U5" s="28" t="str">
        <f t="shared" ca="1" si="5"/>
        <v>RI</v>
      </c>
      <c r="V5" s="28">
        <f t="shared" ca="1" si="6"/>
        <v>5.6952620391926834</v>
      </c>
      <c r="W5" s="28" t="str">
        <f t="shared" ca="1" si="8"/>
        <v>RI</v>
      </c>
      <c r="X5" s="28" t="str">
        <f t="shared" si="7"/>
        <v/>
      </c>
      <c r="Y5" s="28" t="str">
        <f t="shared" ca="1" si="4"/>
        <v/>
      </c>
      <c r="Z5" s="28">
        <f t="shared" ca="1" si="9"/>
        <v>46.848839013636628</v>
      </c>
      <c r="AA5" s="28">
        <v>4</v>
      </c>
      <c r="AB5" s="28">
        <v>0</v>
      </c>
    </row>
    <row r="6" spans="2:28" x14ac:dyDescent="0.3">
      <c r="B6" s="7" t="s">
        <v>10</v>
      </c>
      <c r="C6" s="8" t="s">
        <v>11</v>
      </c>
      <c r="D6" s="8" t="s">
        <v>119</v>
      </c>
      <c r="F6" s="29">
        <f>CHOOSE(LOOKUP(data1!$D$1,{"2014",1;"2015",2;"2016",3}),data1!G9,data1!J9,data1!M9)</f>
        <v>85.503751931395072</v>
      </c>
      <c r="G6" s="29">
        <f>CHOOSE(LOOKUP(data1!$D$1,{"2014",1;"2015",2;"2016",3}),data1!H9,data1!K9,data1!N9)</f>
        <v>32.915109308953625</v>
      </c>
      <c r="H6" s="29">
        <f>CHOOSE(LOOKUP(data1!$D$1,{"2014",1;"2015",2;"2016",3}),data1!I9,data1!L9,data1!O9)</f>
        <v>70.9709440909769</v>
      </c>
      <c r="J6" s="33" t="b">
        <v>0</v>
      </c>
      <c r="K6" s="46" t="s">
        <v>177</v>
      </c>
      <c r="N6" s="29">
        <f t="shared" si="0"/>
        <v>32.915109308953625</v>
      </c>
      <c r="O6" s="41">
        <f t="shared" si="1"/>
        <v>0.63788708162990737</v>
      </c>
      <c r="P6" s="41" t="str">
        <f t="shared" si="2"/>
        <v/>
      </c>
      <c r="R6" s="29">
        <f ca="1">INDIRECT("data1!"&amp;ADDRESS(ROW(A9),MATCH($R$1,表_查询来自_Excel_Files[[#Headers],[Alabama]:[Puerto Rico]],0)+5,3))</f>
        <v>94.438509339673487</v>
      </c>
      <c r="S6" s="54" t="str">
        <f t="shared" si="3"/>
        <v>CA</v>
      </c>
      <c r="U6" s="29" t="str">
        <f t="shared" ca="1" si="5"/>
        <v>AZ</v>
      </c>
      <c r="V6" s="29">
        <f t="shared" ca="1" si="6"/>
        <v>6.0637406002294174</v>
      </c>
      <c r="W6" s="29" t="str">
        <f t="shared" si="8"/>
        <v/>
      </c>
      <c r="X6" s="29" t="str">
        <f t="shared" ca="1" si="7"/>
        <v>AZ</v>
      </c>
      <c r="Y6" s="29" t="str">
        <f t="shared" ca="1" si="4"/>
        <v/>
      </c>
      <c r="Z6" s="29">
        <f t="shared" ca="1" si="9"/>
        <v>46.848839013636628</v>
      </c>
      <c r="AA6" s="29">
        <v>5</v>
      </c>
      <c r="AB6" s="29">
        <v>0</v>
      </c>
    </row>
    <row r="7" spans="2:28" x14ac:dyDescent="0.3">
      <c r="B7" s="5" t="s">
        <v>12</v>
      </c>
      <c r="C7" s="6" t="s">
        <v>13</v>
      </c>
      <c r="D7" s="6" t="s">
        <v>120</v>
      </c>
      <c r="F7" s="28">
        <f>CHOOSE(LOOKUP(data1!$D$1,{"2014",1;"2015",2;"2016",3}),data1!G10,data1!J10,data1!M10)</f>
        <v>71.365353551500704</v>
      </c>
      <c r="G7" s="28">
        <f>CHOOSE(LOOKUP(data1!$D$1,{"2014",1;"2015",2;"2016",3}),data1!H10,data1!K10,data1!N10)</f>
        <v>12.175341495634518</v>
      </c>
      <c r="H7" s="28">
        <f>CHOOSE(LOOKUP(data1!$D$1,{"2014",1;"2015",2;"2016",3}),data1!I10,data1!L10,data1!O10)</f>
        <v>60.602604865546795</v>
      </c>
      <c r="J7" s="33" t="b">
        <v>1</v>
      </c>
      <c r="K7" s="46" t="s">
        <v>178</v>
      </c>
      <c r="N7" s="28">
        <f t="shared" si="0"/>
        <v>12.175341495634518</v>
      </c>
      <c r="O7" s="40">
        <f t="shared" si="1"/>
        <v>0.83545041837217748</v>
      </c>
      <c r="P7" s="40" t="str">
        <f t="shared" si="2"/>
        <v/>
      </c>
      <c r="R7" s="28">
        <f ca="1">INDIRECT("data1!"&amp;ADDRESS(ROW(A10),MATCH($R$1,表_查询来自_Excel_Files[[#Headers],[Alabama]:[Puerto Rico]],0)+5,3))</f>
        <v>89.497149247647073</v>
      </c>
      <c r="S7" s="53" t="str">
        <f t="shared" si="3"/>
        <v>CO</v>
      </c>
      <c r="U7" s="28" t="str">
        <f t="shared" ca="1" si="5"/>
        <v>OR</v>
      </c>
      <c r="V7" s="28">
        <f t="shared" ca="1" si="6"/>
        <v>6.6853325413187665</v>
      </c>
      <c r="W7" s="28" t="str">
        <f t="shared" ca="1" si="8"/>
        <v>OR</v>
      </c>
      <c r="X7" s="28" t="str">
        <f t="shared" si="7"/>
        <v/>
      </c>
      <c r="Y7" s="28" t="str">
        <f t="shared" ca="1" si="4"/>
        <v/>
      </c>
      <c r="Z7" s="28">
        <f t="shared" ca="1" si="9"/>
        <v>46.848839013636628</v>
      </c>
      <c r="AA7" s="28">
        <v>6</v>
      </c>
      <c r="AB7" s="28">
        <v>0</v>
      </c>
    </row>
    <row r="8" spans="2:28" x14ac:dyDescent="0.3">
      <c r="B8" s="7" t="s">
        <v>14</v>
      </c>
      <c r="C8" s="8" t="s">
        <v>15</v>
      </c>
      <c r="D8" s="8" t="s">
        <v>121</v>
      </c>
      <c r="F8" s="29">
        <f>CHOOSE(LOOKUP(data1!$D$1,{"2014",1;"2015",2;"2016",3}),data1!G11,data1!J11,data1!M11)</f>
        <v>99.7902159747361</v>
      </c>
      <c r="G8" s="29">
        <f>CHOOSE(LOOKUP(data1!$D$1,{"2014",1;"2015",2;"2016",3}),data1!H11,data1!K11,data1!N11)</f>
        <v>90.348669818427226</v>
      </c>
      <c r="H8" s="29">
        <f>CHOOSE(LOOKUP(data1!$D$1,{"2014",1;"2015",2;"2016",3}),data1!I11,data1!L11,data1!O11)</f>
        <v>38.98214701452175</v>
      </c>
      <c r="J8" s="33" t="b">
        <v>1</v>
      </c>
      <c r="K8" s="44" t="s">
        <v>179</v>
      </c>
      <c r="N8" s="29">
        <f t="shared" si="0"/>
        <v>90.348669818427226</v>
      </c>
      <c r="O8" s="41">
        <f t="shared" si="1"/>
        <v>9.078520675000791E-2</v>
      </c>
      <c r="P8" s="41" t="str">
        <f t="shared" si="2"/>
        <v/>
      </c>
      <c r="R8" s="29">
        <f ca="1">INDIRECT("data1!"&amp;ADDRESS(ROW(A11),MATCH($R$1,表_查询来自_Excel_Files[[#Headers],[Alabama]:[Puerto Rico]],0)+5,3))</f>
        <v>55.360260831116015</v>
      </c>
      <c r="S8" s="54" t="str">
        <f t="shared" si="3"/>
        <v>CT</v>
      </c>
      <c r="U8" s="29" t="str">
        <f t="shared" ca="1" si="5"/>
        <v>SD</v>
      </c>
      <c r="V8" s="29">
        <f t="shared" ca="1" si="6"/>
        <v>7.4447652822688841</v>
      </c>
      <c r="W8" s="29" t="str">
        <f t="shared" si="8"/>
        <v/>
      </c>
      <c r="X8" s="29" t="str">
        <f t="shared" ca="1" si="7"/>
        <v>SD</v>
      </c>
      <c r="Y8" s="29" t="str">
        <f t="shared" ca="1" si="4"/>
        <v/>
      </c>
      <c r="Z8" s="29">
        <f t="shared" ca="1" si="9"/>
        <v>46.848839013636628</v>
      </c>
      <c r="AA8" s="29">
        <v>7</v>
      </c>
      <c r="AB8" s="29">
        <v>0</v>
      </c>
    </row>
    <row r="9" spans="2:28" x14ac:dyDescent="0.3">
      <c r="B9" s="5" t="s">
        <v>16</v>
      </c>
      <c r="C9" s="6" t="s">
        <v>17</v>
      </c>
      <c r="D9" s="6" t="s">
        <v>122</v>
      </c>
      <c r="F9" s="28">
        <f>CHOOSE(LOOKUP(data1!$D$1,{"2014",1;"2015",2;"2016",3}),data1!G12,data1!J12,data1!M12)</f>
        <v>83.908510075742598</v>
      </c>
      <c r="G9" s="28">
        <f>CHOOSE(LOOKUP(data1!$D$1,{"2014",1;"2015",2;"2016",3}),data1!H12,data1!K12,data1!N12)</f>
        <v>65.354396639079766</v>
      </c>
      <c r="H9" s="28">
        <f>CHOOSE(LOOKUP(data1!$D$1,{"2014",1;"2015",2;"2016",3}),data1!I12,data1!L12,data1!O12)</f>
        <v>46.131763466475604</v>
      </c>
      <c r="J9" s="59" t="str">
        <f>VLOOKUP(cur_region,C2:D53,2,0)</f>
        <v>哥伦比亚特区</v>
      </c>
      <c r="K9" s="45"/>
      <c r="N9" s="28">
        <f t="shared" si="0"/>
        <v>65.354396639079766</v>
      </c>
      <c r="O9" s="40">
        <f t="shared" si="1"/>
        <v>0.32887620435454962</v>
      </c>
      <c r="P9" s="40" t="str">
        <f t="shared" si="2"/>
        <v/>
      </c>
      <c r="R9" s="28">
        <f ca="1">INDIRECT("data1!"&amp;ADDRESS(ROW(A12),MATCH($R$1,表_查询来自_Excel_Files[[#Headers],[Alabama]:[Puerto Rico]],0)+5,3))</f>
        <v>82.320350007953166</v>
      </c>
      <c r="S9" s="53" t="str">
        <f t="shared" si="3"/>
        <v>DE</v>
      </c>
      <c r="U9" s="28" t="str">
        <f t="shared" ca="1" si="5"/>
        <v>SC</v>
      </c>
      <c r="V9" s="28">
        <f t="shared" ca="1" si="6"/>
        <v>8.9090576679342508</v>
      </c>
      <c r="W9" s="28" t="str">
        <f t="shared" ca="1" si="8"/>
        <v>SC</v>
      </c>
      <c r="X9" s="28" t="str">
        <f t="shared" si="7"/>
        <v/>
      </c>
      <c r="Y9" s="28" t="str">
        <f t="shared" ca="1" si="4"/>
        <v/>
      </c>
      <c r="Z9" s="28">
        <f t="shared" ca="1" si="9"/>
        <v>46.848839013636628</v>
      </c>
      <c r="AA9" s="28">
        <v>8</v>
      </c>
      <c r="AB9" s="28">
        <v>0</v>
      </c>
    </row>
    <row r="10" spans="2:28" x14ac:dyDescent="0.3">
      <c r="B10" s="7" t="s">
        <v>18</v>
      </c>
      <c r="C10" s="8" t="s">
        <v>19</v>
      </c>
      <c r="D10" s="8" t="s">
        <v>123</v>
      </c>
      <c r="F10" s="29">
        <f>CHOOSE(LOOKUP(data1!$D$1,{"2014",1;"2015",2;"2016",3}),data1!G13,data1!J13,data1!M13)</f>
        <v>80.439274111929564</v>
      </c>
      <c r="G10" s="29">
        <f>CHOOSE(LOOKUP(data1!$D$1,{"2014",1;"2015",2;"2016",3}),data1!H13,data1!K13,data1!N13)</f>
        <v>58.428125476368507</v>
      </c>
      <c r="H10" s="29">
        <f>CHOOSE(LOOKUP(data1!$D$1,{"2014",1;"2015",2;"2016",3}),data1!I13,data1!L13,data1!O13)</f>
        <v>21.134345593739646</v>
      </c>
      <c r="J10" s="47" t="s">
        <v>201</v>
      </c>
      <c r="K10" s="44" t="s">
        <v>180</v>
      </c>
      <c r="N10" s="29">
        <f t="shared" si="0"/>
        <v>58.428125476368507</v>
      </c>
      <c r="O10" s="41">
        <f t="shared" si="1"/>
        <v>0.39485463065150289</v>
      </c>
      <c r="P10" s="41" t="str">
        <f t="shared" si="2"/>
        <v>DC_x000D_58.4</v>
      </c>
      <c r="R10" s="29">
        <f ca="1">INDIRECT("data1!"&amp;ADDRESS(ROW(A13),MATCH($R$1,表_查询来自_Excel_Files[[#Headers],[Alabama]:[Puerto Rico]],0)+5,3))</f>
        <v>46.669480724501987</v>
      </c>
      <c r="S10" s="54" t="str">
        <f t="shared" si="3"/>
        <v>DC</v>
      </c>
      <c r="U10" s="29" t="str">
        <f t="shared" ca="1" si="5"/>
        <v>NC</v>
      </c>
      <c r="V10" s="29">
        <f t="shared" ca="1" si="6"/>
        <v>9.9538573800189702</v>
      </c>
      <c r="W10" s="29" t="str">
        <f t="shared" si="8"/>
        <v/>
      </c>
      <c r="X10" s="29" t="str">
        <f t="shared" ca="1" si="7"/>
        <v>NC</v>
      </c>
      <c r="Y10" s="29" t="str">
        <f t="shared" ca="1" si="4"/>
        <v/>
      </c>
      <c r="Z10" s="29">
        <f t="shared" ca="1" si="9"/>
        <v>46.848839013636628</v>
      </c>
      <c r="AA10" s="29">
        <v>9</v>
      </c>
      <c r="AB10" s="29">
        <v>0</v>
      </c>
    </row>
    <row r="11" spans="2:28" x14ac:dyDescent="0.3">
      <c r="B11" s="5" t="s">
        <v>20</v>
      </c>
      <c r="C11" s="6" t="s">
        <v>21</v>
      </c>
      <c r="D11" s="6" t="s">
        <v>124</v>
      </c>
      <c r="F11" s="28">
        <f>CHOOSE(LOOKUP(data1!$D$1,{"2014",1;"2015",2;"2016",3}),data1!G14,data1!J14,data1!M14)</f>
        <v>69.60148821301982</v>
      </c>
      <c r="G11" s="28">
        <f>CHOOSE(LOOKUP(data1!$D$1,{"2014",1;"2015",2;"2016",3}),data1!H14,data1!K14,data1!N14)</f>
        <v>28.306037936574924</v>
      </c>
      <c r="H11" s="28">
        <f>CHOOSE(LOOKUP(data1!$D$1,{"2014",1;"2015",2;"2016",3}),data1!I14,data1!L14,data1!O14)</f>
        <v>89.16156030809573</v>
      </c>
      <c r="J11" s="49">
        <f>ROUND(INDEX(N2:N53,MATCH(cur_region,C2:C53,0)),1)</f>
        <v>58.4</v>
      </c>
      <c r="K11" s="44" t="s">
        <v>181</v>
      </c>
      <c r="N11" s="28">
        <f t="shared" si="0"/>
        <v>28.306037936574924</v>
      </c>
      <c r="O11" s="40">
        <f t="shared" si="1"/>
        <v>0.68179227515987695</v>
      </c>
      <c r="P11" s="40" t="str">
        <f t="shared" si="2"/>
        <v/>
      </c>
      <c r="R11" s="28">
        <f ca="1">INDIRECT("data1!"&amp;ADDRESS(ROW(A14),MATCH($R$1,表_查询来自_Excel_Files[[#Headers],[Alabama]:[Puerto Rico]],0)+5,3))</f>
        <v>61.562787764101635</v>
      </c>
      <c r="S11" s="53" t="str">
        <f t="shared" si="3"/>
        <v>FL</v>
      </c>
      <c r="U11" s="28" t="str">
        <f t="shared" ca="1" si="5"/>
        <v>ID</v>
      </c>
      <c r="V11" s="28">
        <f t="shared" ca="1" si="6"/>
        <v>11.968012058583376</v>
      </c>
      <c r="W11" s="28" t="str">
        <f t="shared" ca="1" si="8"/>
        <v>ID</v>
      </c>
      <c r="X11" s="28" t="str">
        <f t="shared" si="7"/>
        <v/>
      </c>
      <c r="Y11" s="28" t="str">
        <f t="shared" ca="1" si="4"/>
        <v/>
      </c>
      <c r="Z11" s="28">
        <f t="shared" ca="1" si="9"/>
        <v>46.848839013636628</v>
      </c>
      <c r="AA11" s="28">
        <v>10</v>
      </c>
      <c r="AB11" s="28">
        <v>0</v>
      </c>
    </row>
    <row r="12" spans="2:28" x14ac:dyDescent="0.3">
      <c r="B12" s="7" t="s">
        <v>22</v>
      </c>
      <c r="C12" s="8" t="s">
        <v>23</v>
      </c>
      <c r="D12" s="8" t="s">
        <v>125</v>
      </c>
      <c r="F12" s="29">
        <f>CHOOSE(LOOKUP(data1!$D$1,{"2014",1;"2015",2;"2016",3}),data1!G15,data1!J15,data1!M15)</f>
        <v>25.516744930324322</v>
      </c>
      <c r="G12" s="29">
        <f>CHOOSE(LOOKUP(data1!$D$1,{"2014",1;"2015",2;"2016",3}),data1!H15,data1!K15,data1!N15)</f>
        <v>95.009290540463169</v>
      </c>
      <c r="H12" s="29">
        <f>CHOOSE(LOOKUP(data1!$D$1,{"2014",1;"2015",2;"2016",3}),data1!I15,data1!L15,data1!O15)</f>
        <v>97.668913362414727</v>
      </c>
      <c r="J12" s="48" t="str">
        <f>IF(J7,cur_region,"")&amp;CHAR(13)&amp;IF(J8,J11,"")</f>
        <v>DC_x000D_58.4</v>
      </c>
      <c r="K12" s="45" t="s">
        <v>182</v>
      </c>
      <c r="N12" s="29">
        <f t="shared" si="0"/>
        <v>95.009290540463169</v>
      </c>
      <c r="O12" s="41">
        <f t="shared" si="1"/>
        <v>4.6388963290412817E-2</v>
      </c>
      <c r="P12" s="41" t="str">
        <f t="shared" si="2"/>
        <v/>
      </c>
      <c r="R12" s="29">
        <f ca="1">INDIRECT("data1!"&amp;ADDRESS(ROW(A15),MATCH($R$1,表_查询来自_Excel_Files[[#Headers],[Alabama]:[Puerto Rico]],0)+5,3))</f>
        <v>45.704312260655534</v>
      </c>
      <c r="S12" s="54" t="str">
        <f t="shared" si="3"/>
        <v>GA</v>
      </c>
      <c r="U12" s="29" t="str">
        <f t="shared" ca="1" si="5"/>
        <v>TX</v>
      </c>
      <c r="V12" s="29">
        <f t="shared" ca="1" si="6"/>
        <v>18.288616143582146</v>
      </c>
      <c r="W12" s="29" t="str">
        <f t="shared" si="8"/>
        <v/>
      </c>
      <c r="X12" s="29" t="str">
        <f t="shared" ca="1" si="7"/>
        <v>TX</v>
      </c>
      <c r="Y12" s="29" t="str">
        <f t="shared" ca="1" si="4"/>
        <v/>
      </c>
      <c r="Z12" s="29">
        <f t="shared" ca="1" si="9"/>
        <v>46.848839013636628</v>
      </c>
      <c r="AA12" s="29">
        <v>11</v>
      </c>
      <c r="AB12" s="29">
        <v>0</v>
      </c>
    </row>
    <row r="13" spans="2:28" x14ac:dyDescent="0.3">
      <c r="B13" s="5" t="s">
        <v>24</v>
      </c>
      <c r="C13" s="6" t="s">
        <v>25</v>
      </c>
      <c r="D13" s="6" t="s">
        <v>126</v>
      </c>
      <c r="F13" s="28">
        <f>CHOOSE(LOOKUP(data1!$D$1,{"2014",1;"2015",2;"2016",3}),data1!G16,data1!J16,data1!M16)</f>
        <v>5.0924032250928786</v>
      </c>
      <c r="G13" s="28">
        <f>CHOOSE(LOOKUP(data1!$D$1,{"2014",1;"2015",2;"2016",3}),data1!H16,data1!K16,data1!N16)</f>
        <v>45.672967915435933</v>
      </c>
      <c r="H13" s="28">
        <f>CHOOSE(LOOKUP(data1!$D$1,{"2014",1;"2015",2;"2016",3}),data1!I16,data1!L16,data1!O16)</f>
        <v>17.235767385717249</v>
      </c>
      <c r="N13" s="28">
        <f t="shared" si="0"/>
        <v>45.672967915435933</v>
      </c>
      <c r="O13" s="40">
        <f t="shared" si="1"/>
        <v>0.5163579913011298</v>
      </c>
      <c r="P13" s="40" t="str">
        <f t="shared" si="2"/>
        <v/>
      </c>
      <c r="R13" s="28">
        <f ca="1">INDIRECT("data1!"&amp;ADDRESS(ROW(A16),MATCH($R$1,表_查询来自_Excel_Files[[#Headers],[Alabama]:[Puerto Rico]],0)+5,3))</f>
        <v>77.7120401834826</v>
      </c>
      <c r="S13" s="53" t="str">
        <f t="shared" si="3"/>
        <v>HI</v>
      </c>
      <c r="U13" s="28" t="str">
        <f t="shared" ca="1" si="5"/>
        <v>ME</v>
      </c>
      <c r="V13" s="28">
        <f t="shared" ca="1" si="6"/>
        <v>25.25779307648164</v>
      </c>
      <c r="W13" s="28" t="str">
        <f t="shared" ca="1" si="8"/>
        <v>ME</v>
      </c>
      <c r="X13" s="28" t="str">
        <f t="shared" si="7"/>
        <v/>
      </c>
      <c r="Y13" s="28" t="str">
        <f t="shared" ca="1" si="4"/>
        <v/>
      </c>
      <c r="Z13" s="28">
        <f t="shared" ca="1" si="9"/>
        <v>46.848839013636628</v>
      </c>
      <c r="AA13" s="28">
        <v>12</v>
      </c>
      <c r="AB13" s="28">
        <v>0</v>
      </c>
    </row>
    <row r="14" spans="2:28" x14ac:dyDescent="0.3">
      <c r="B14" s="7" t="s">
        <v>26</v>
      </c>
      <c r="C14" s="8" t="s">
        <v>27</v>
      </c>
      <c r="D14" s="8" t="s">
        <v>127</v>
      </c>
      <c r="F14" s="29">
        <f>CHOOSE(LOOKUP(data1!$D$1,{"2014",1;"2015",2;"2016",3}),data1!G17,data1!J17,data1!M17)</f>
        <v>49.979898254891197</v>
      </c>
      <c r="G14" s="29">
        <f>CHOOSE(LOOKUP(data1!$D$1,{"2014",1;"2015",2;"2016",3}),data1!H17,data1!K17,data1!N17)</f>
        <v>8.0355794820295205</v>
      </c>
      <c r="H14" s="29">
        <f>CHOOSE(LOOKUP(data1!$D$1,{"2014",1;"2015",2;"2016",3}),data1!I17,data1!L17,data1!O17)</f>
        <v>38.448317835204747</v>
      </c>
      <c r="J14" t="b">
        <v>1</v>
      </c>
      <c r="N14" s="29">
        <f t="shared" si="0"/>
        <v>8.0355794820295205</v>
      </c>
      <c r="O14" s="41">
        <f t="shared" si="1"/>
        <v>0.87488505448230147</v>
      </c>
      <c r="P14" s="41" t="str">
        <f t="shared" si="2"/>
        <v/>
      </c>
      <c r="R14" s="29">
        <f ca="1">INDIRECT("data1!"&amp;ADDRESS(ROW(A17),MATCH($R$1,表_查询来自_Excel_Files[[#Headers],[Alabama]:[Puerto Rico]],0)+5,3))</f>
        <v>11.968012058583376</v>
      </c>
      <c r="S14" s="54" t="str">
        <f t="shared" si="3"/>
        <v>ID</v>
      </c>
      <c r="U14" s="29" t="str">
        <f t="shared" ca="1" si="5"/>
        <v>MO</v>
      </c>
      <c r="V14" s="29">
        <f t="shared" ca="1" si="6"/>
        <v>26.014439409134383</v>
      </c>
      <c r="W14" s="29" t="str">
        <f t="shared" si="8"/>
        <v/>
      </c>
      <c r="X14" s="29" t="str">
        <f t="shared" ca="1" si="7"/>
        <v>MO</v>
      </c>
      <c r="Y14" s="29" t="str">
        <f t="shared" ca="1" si="4"/>
        <v/>
      </c>
      <c r="Z14" s="29">
        <f t="shared" ca="1" si="9"/>
        <v>46.848839013636628</v>
      </c>
      <c r="AA14" s="29">
        <v>13</v>
      </c>
      <c r="AB14" s="29">
        <v>0</v>
      </c>
    </row>
    <row r="15" spans="2:28" x14ac:dyDescent="0.3">
      <c r="B15" s="5" t="s">
        <v>28</v>
      </c>
      <c r="C15" s="6" t="s">
        <v>29</v>
      </c>
      <c r="D15" s="6" t="s">
        <v>128</v>
      </c>
      <c r="F15" s="28">
        <f>CHOOSE(LOOKUP(data1!$D$1,{"2014",1;"2015",2;"2016",3}),data1!G18,data1!J18,data1!M18)</f>
        <v>11.408407345344241</v>
      </c>
      <c r="G15" s="28">
        <f>CHOOSE(LOOKUP(data1!$D$1,{"2014",1;"2015",2;"2016",3}),data1!H18,data1!K18,data1!N18)</f>
        <v>13.51165943120478</v>
      </c>
      <c r="H15" s="28">
        <f>CHOOSE(LOOKUP(data1!$D$1,{"2014",1;"2015",2;"2016",3}),data1!I18,data1!L18,data1!O18)</f>
        <v>42.132976573681603</v>
      </c>
      <c r="N15" s="28">
        <f t="shared" si="0"/>
        <v>13.51165943120478</v>
      </c>
      <c r="O15" s="40">
        <f t="shared" si="1"/>
        <v>0.82272089156762684</v>
      </c>
      <c r="P15" s="40" t="str">
        <f t="shared" si="2"/>
        <v/>
      </c>
      <c r="R15" s="28">
        <f ca="1">INDIRECT("data1!"&amp;ADDRESS(ROW(A18),MATCH($R$1,表_查询来自_Excel_Files[[#Headers],[Alabama]:[Puerto Rico]],0)+5,3))</f>
        <v>60.323728071247018</v>
      </c>
      <c r="S15" s="53" t="str">
        <f t="shared" si="3"/>
        <v>IL</v>
      </c>
      <c r="U15" s="28" t="str">
        <f t="shared" ca="1" si="5"/>
        <v>AK</v>
      </c>
      <c r="V15" s="28">
        <f t="shared" ca="1" si="6"/>
        <v>26.253958113212139</v>
      </c>
      <c r="W15" s="28" t="str">
        <f t="shared" ca="1" si="8"/>
        <v>AK</v>
      </c>
      <c r="X15" s="28" t="str">
        <f t="shared" si="7"/>
        <v/>
      </c>
      <c r="Y15" s="28" t="str">
        <f t="shared" ca="1" si="4"/>
        <v/>
      </c>
      <c r="Z15" s="28">
        <f t="shared" ca="1" si="9"/>
        <v>46.848839013636628</v>
      </c>
      <c r="AA15" s="28">
        <v>14</v>
      </c>
      <c r="AB15" s="28">
        <v>0</v>
      </c>
    </row>
    <row r="16" spans="2:28" x14ac:dyDescent="0.3">
      <c r="B16" s="7" t="s">
        <v>30</v>
      </c>
      <c r="C16" s="8" t="s">
        <v>31</v>
      </c>
      <c r="D16" s="8" t="s">
        <v>129</v>
      </c>
      <c r="F16" s="29">
        <f>CHOOSE(LOOKUP(data1!$D$1,{"2014",1;"2015",2;"2016",3}),data1!G19,data1!J19,data1!M19)</f>
        <v>66.50253603649746</v>
      </c>
      <c r="G16" s="29">
        <f>CHOOSE(LOOKUP(data1!$D$1,{"2014",1;"2015",2;"2016",3}),data1!H19,data1!K19,data1!N19)</f>
        <v>27.178075442028327</v>
      </c>
      <c r="H16" s="29">
        <f>CHOOSE(LOOKUP(data1!$D$1,{"2014",1;"2015",2;"2016",3}),data1!I19,data1!L19,data1!O19)</f>
        <v>87.446517703874292</v>
      </c>
      <c r="N16" s="29">
        <f t="shared" si="0"/>
        <v>27.178075442028327</v>
      </c>
      <c r="O16" s="41">
        <f t="shared" si="1"/>
        <v>0.69253704511818137</v>
      </c>
      <c r="P16" s="41" t="str">
        <f t="shared" si="2"/>
        <v/>
      </c>
      <c r="R16" s="29">
        <f ca="1">INDIRECT("data1!"&amp;ADDRESS(ROW(A19),MATCH($R$1,表_查询来自_Excel_Files[[#Headers],[Alabama]:[Puerto Rico]],0)+5,3))</f>
        <v>77.154234689071444</v>
      </c>
      <c r="S16" s="54" t="str">
        <f t="shared" si="3"/>
        <v>IN</v>
      </c>
      <c r="U16" s="29" t="str">
        <f t="shared" ca="1" si="5"/>
        <v>UT</v>
      </c>
      <c r="V16" s="29">
        <f t="shared" ca="1" si="6"/>
        <v>28.240685240690667</v>
      </c>
      <c r="W16" s="29" t="str">
        <f t="shared" si="8"/>
        <v/>
      </c>
      <c r="X16" s="29" t="str">
        <f t="shared" ca="1" si="7"/>
        <v>UT</v>
      </c>
      <c r="Y16" s="29" t="str">
        <f t="shared" ca="1" si="4"/>
        <v/>
      </c>
      <c r="Z16" s="29">
        <f t="shared" ca="1" si="9"/>
        <v>46.848839013636628</v>
      </c>
      <c r="AA16" s="29">
        <v>15</v>
      </c>
      <c r="AB16" s="29">
        <v>0</v>
      </c>
    </row>
    <row r="17" spans="2:28" x14ac:dyDescent="0.3">
      <c r="B17" s="5" t="s">
        <v>32</v>
      </c>
      <c r="C17" s="6" t="s">
        <v>33</v>
      </c>
      <c r="D17" s="6" t="s">
        <v>130</v>
      </c>
      <c r="F17" s="28">
        <f>CHOOSE(LOOKUP(data1!$D$1,{"2014",1;"2015",2;"2016",3}),data1!G20,data1!J20,data1!M20)</f>
        <v>96.268181694675093</v>
      </c>
      <c r="G17" s="28">
        <f>CHOOSE(LOOKUP(data1!$D$1,{"2014",1;"2015",2;"2016",3}),data1!H20,data1!K20,data1!N20)</f>
        <v>80.292287647006319</v>
      </c>
      <c r="H17" s="28">
        <f>CHOOSE(LOOKUP(data1!$D$1,{"2014",1;"2015",2;"2016",3}),data1!I20,data1!L20,data1!O20)</f>
        <v>87.970959505026528</v>
      </c>
      <c r="N17" s="28">
        <f t="shared" si="0"/>
        <v>80.292287647006319</v>
      </c>
      <c r="O17" s="40">
        <f t="shared" si="1"/>
        <v>0.18658051339107268</v>
      </c>
      <c r="P17" s="40" t="str">
        <f t="shared" si="2"/>
        <v/>
      </c>
      <c r="R17" s="28">
        <f ca="1">INDIRECT("data1!"&amp;ADDRESS(ROW(A20),MATCH($R$1,表_查询来自_Excel_Files[[#Headers],[Alabama]:[Puerto Rico]],0)+5,3))</f>
        <v>0.19818681285916906</v>
      </c>
      <c r="S17" s="53" t="str">
        <f t="shared" si="3"/>
        <v>IA</v>
      </c>
      <c r="U17" s="28" t="str">
        <f t="shared" ca="1" si="5"/>
        <v>AR</v>
      </c>
      <c r="V17" s="28">
        <f t="shared" ca="1" si="6"/>
        <v>29.951371092920297</v>
      </c>
      <c r="W17" s="28" t="str">
        <f t="shared" ca="1" si="8"/>
        <v>AR</v>
      </c>
      <c r="X17" s="28" t="str">
        <f t="shared" si="7"/>
        <v/>
      </c>
      <c r="Y17" s="28" t="str">
        <f t="shared" ca="1" si="4"/>
        <v/>
      </c>
      <c r="Z17" s="28">
        <f t="shared" ca="1" si="9"/>
        <v>46.848839013636628</v>
      </c>
      <c r="AA17" s="28">
        <v>16</v>
      </c>
      <c r="AB17" s="28">
        <v>0</v>
      </c>
    </row>
    <row r="18" spans="2:28" x14ac:dyDescent="0.3">
      <c r="B18" s="7" t="s">
        <v>34</v>
      </c>
      <c r="C18" s="8" t="s">
        <v>35</v>
      </c>
      <c r="D18" s="8" t="s">
        <v>131</v>
      </c>
      <c r="F18" s="29">
        <f>CHOOSE(LOOKUP(data1!$D$1,{"2014",1;"2015",2;"2016",3}),data1!G21,data1!J21,data1!M21)</f>
        <v>8.0845239664227968</v>
      </c>
      <c r="G18" s="29">
        <f>CHOOSE(LOOKUP(data1!$D$1,{"2014",1;"2015",2;"2016",3}),data1!H21,data1!K21,data1!N21)</f>
        <v>82.919454828791643</v>
      </c>
      <c r="H18" s="29">
        <f>CHOOSE(LOOKUP(data1!$D$1,{"2014",1;"2015",2;"2016",3}),data1!I21,data1!L21,data1!O21)</f>
        <v>80.162831416556813</v>
      </c>
      <c r="N18" s="29">
        <f t="shared" si="0"/>
        <v>82.919454828791643</v>
      </c>
      <c r="O18" s="41">
        <f t="shared" si="1"/>
        <v>0.16155458642384929</v>
      </c>
      <c r="P18" s="41" t="str">
        <f t="shared" si="2"/>
        <v/>
      </c>
      <c r="R18" s="29">
        <f ca="1">INDIRECT("data1!"&amp;ADDRESS(ROW(A21),MATCH($R$1,表_查询来自_Excel_Files[[#Headers],[Alabama]:[Puerto Rico]],0)+5,3))</f>
        <v>32.518990872835651</v>
      </c>
      <c r="S18" s="54" t="str">
        <f t="shared" si="3"/>
        <v>KS</v>
      </c>
      <c r="U18" s="29" t="str">
        <f t="shared" ca="1" si="5"/>
        <v>OK</v>
      </c>
      <c r="V18" s="29">
        <f t="shared" ca="1" si="6"/>
        <v>32.442605724624173</v>
      </c>
      <c r="W18" s="29" t="str">
        <f t="shared" si="8"/>
        <v/>
      </c>
      <c r="X18" s="29" t="str">
        <f t="shared" ca="1" si="7"/>
        <v>OK</v>
      </c>
      <c r="Y18" s="29" t="str">
        <f t="shared" ca="1" si="4"/>
        <v/>
      </c>
      <c r="Z18" s="29">
        <f t="shared" ca="1" si="9"/>
        <v>46.848839013636628</v>
      </c>
      <c r="AA18" s="29">
        <v>17</v>
      </c>
      <c r="AB18" s="29">
        <v>0</v>
      </c>
    </row>
    <row r="19" spans="2:28" x14ac:dyDescent="0.3">
      <c r="B19" s="5" t="s">
        <v>36</v>
      </c>
      <c r="C19" s="6" t="s">
        <v>37</v>
      </c>
      <c r="D19" s="6" t="s">
        <v>132</v>
      </c>
      <c r="F19" s="28">
        <f>CHOOSE(LOOKUP(data1!$D$1,{"2014",1;"2015",2;"2016",3}),data1!G22,data1!J22,data1!M22)</f>
        <v>37.63153478705172</v>
      </c>
      <c r="G19" s="28">
        <f>CHOOSE(LOOKUP(data1!$D$1,{"2014",1;"2015",2;"2016",3}),data1!H22,data1!K22,data1!N22)</f>
        <v>68.133483600453175</v>
      </c>
      <c r="H19" s="28">
        <f>CHOOSE(LOOKUP(data1!$D$1,{"2014",1;"2015",2;"2016",3}),data1!I22,data1!L22,data1!O22)</f>
        <v>78.646299052103004</v>
      </c>
      <c r="N19" s="28">
        <f t="shared" si="0"/>
        <v>68.133483600453175</v>
      </c>
      <c r="O19" s="40">
        <f t="shared" si="1"/>
        <v>0.30240311660699687</v>
      </c>
      <c r="P19" s="40" t="str">
        <f t="shared" si="2"/>
        <v/>
      </c>
      <c r="R19" s="28">
        <f ca="1">INDIRECT("data1!"&amp;ADDRESS(ROW(A22),MATCH($R$1,表_查询来自_Excel_Files[[#Headers],[Alabama]:[Puerto Rico]],0)+5,3))</f>
        <v>98.042933886093408</v>
      </c>
      <c r="S19" s="53" t="str">
        <f t="shared" si="3"/>
        <v>KY</v>
      </c>
      <c r="U19" s="28" t="str">
        <f t="shared" ca="1" si="5"/>
        <v>KS</v>
      </c>
      <c r="V19" s="28">
        <f t="shared" ca="1" si="6"/>
        <v>32.518990872835651</v>
      </c>
      <c r="W19" s="28" t="str">
        <f t="shared" ca="1" si="8"/>
        <v>KS</v>
      </c>
      <c r="X19" s="28" t="str">
        <f t="shared" si="7"/>
        <v/>
      </c>
      <c r="Y19" s="28" t="str">
        <f t="shared" ca="1" si="4"/>
        <v/>
      </c>
      <c r="Z19" s="28">
        <f t="shared" ca="1" si="9"/>
        <v>46.848839013636628</v>
      </c>
      <c r="AA19" s="28">
        <v>18</v>
      </c>
      <c r="AB19" s="28">
        <v>0</v>
      </c>
    </row>
    <row r="20" spans="2:28" x14ac:dyDescent="0.3">
      <c r="B20" s="7" t="s">
        <v>38</v>
      </c>
      <c r="C20" s="8" t="s">
        <v>39</v>
      </c>
      <c r="D20" s="8" t="s">
        <v>133</v>
      </c>
      <c r="F20" s="29">
        <f>CHOOSE(LOOKUP(data1!$D$1,{"2014",1;"2015",2;"2016",3}),data1!G23,data1!J23,data1!M23)</f>
        <v>15.648154520068946</v>
      </c>
      <c r="G20" s="29">
        <f>CHOOSE(LOOKUP(data1!$D$1,{"2014",1;"2015",2;"2016",3}),data1!H23,data1!K23,data1!N23)</f>
        <v>26.369702692466291</v>
      </c>
      <c r="H20" s="29">
        <f>CHOOSE(LOOKUP(data1!$D$1,{"2014",1;"2015",2;"2016",3}),data1!I23,data1!L23,data1!O23)</f>
        <v>96.168869650948466</v>
      </c>
      <c r="N20" s="29">
        <f t="shared" si="0"/>
        <v>26.369702692466291</v>
      </c>
      <c r="O20" s="41">
        <f t="shared" si="1"/>
        <v>0.70023746004917387</v>
      </c>
      <c r="P20" s="41" t="str">
        <f t="shared" si="2"/>
        <v/>
      </c>
      <c r="R20" s="29">
        <f ca="1">INDIRECT("data1!"&amp;ADDRESS(ROW(A23),MATCH($R$1,表_查询来自_Excel_Files[[#Headers],[Alabama]:[Puerto Rico]],0)+5,3))</f>
        <v>56.619516290464055</v>
      </c>
      <c r="S20" s="54" t="str">
        <f t="shared" si="3"/>
        <v>LA</v>
      </c>
      <c r="U20" s="29" t="str">
        <f t="shared" ca="1" si="5"/>
        <v>PR</v>
      </c>
      <c r="V20" s="29">
        <f t="shared" ca="1" si="6"/>
        <v>33.052979088566694</v>
      </c>
      <c r="W20" s="29" t="str">
        <f t="shared" si="8"/>
        <v/>
      </c>
      <c r="X20" s="29" t="str">
        <f t="shared" ca="1" si="7"/>
        <v>PR</v>
      </c>
      <c r="Y20" s="29" t="str">
        <f t="shared" ca="1" si="4"/>
        <v/>
      </c>
      <c r="Z20" s="29">
        <f t="shared" ca="1" si="9"/>
        <v>46.848839013636628</v>
      </c>
      <c r="AA20" s="29">
        <v>19</v>
      </c>
      <c r="AB20" s="29">
        <v>0</v>
      </c>
    </row>
    <row r="21" spans="2:28" x14ac:dyDescent="0.3">
      <c r="B21" s="5" t="s">
        <v>40</v>
      </c>
      <c r="C21" s="6" t="s">
        <v>41</v>
      </c>
      <c r="D21" s="6" t="s">
        <v>134</v>
      </c>
      <c r="F21" s="28">
        <f>CHOOSE(LOOKUP(data1!$D$1,{"2014",1;"2015",2;"2016",3}),data1!G24,data1!J24,data1!M24)</f>
        <v>27.437737399450633</v>
      </c>
      <c r="G21" s="28">
        <f>CHOOSE(LOOKUP(data1!$D$1,{"2014",1;"2015",2;"2016",3}),data1!H24,data1!K24,data1!N24)</f>
        <v>54.879468425184427</v>
      </c>
      <c r="H21" s="28">
        <f>CHOOSE(LOOKUP(data1!$D$1,{"2014",1;"2015",2;"2016",3}),data1!I24,data1!L24,data1!O24)</f>
        <v>23.085395369721219</v>
      </c>
      <c r="N21" s="28">
        <f t="shared" si="0"/>
        <v>54.879468425184427</v>
      </c>
      <c r="O21" s="40">
        <f t="shared" si="1"/>
        <v>0.42865850609969736</v>
      </c>
      <c r="P21" s="40" t="str">
        <f t="shared" si="2"/>
        <v/>
      </c>
      <c r="R21" s="28">
        <f ca="1">INDIRECT("data1!"&amp;ADDRESS(ROW(A24),MATCH($R$1,表_查询来自_Excel_Files[[#Headers],[Alabama]:[Puerto Rico]],0)+5,3))</f>
        <v>25.25779307648164</v>
      </c>
      <c r="S21" s="53" t="str">
        <f t="shared" si="3"/>
        <v>ME</v>
      </c>
      <c r="U21" s="28" t="str">
        <f t="shared" ca="1" si="5"/>
        <v>VA</v>
      </c>
      <c r="V21" s="28">
        <f t="shared" ca="1" si="6"/>
        <v>34.975229259426264</v>
      </c>
      <c r="W21" s="28" t="str">
        <f t="shared" ca="1" si="8"/>
        <v>VA</v>
      </c>
      <c r="X21" s="28" t="str">
        <f t="shared" si="7"/>
        <v/>
      </c>
      <c r="Y21" s="28" t="str">
        <f t="shared" ca="1" si="4"/>
        <v/>
      </c>
      <c r="Z21" s="28">
        <f t="shared" ca="1" si="9"/>
        <v>46.848839013636628</v>
      </c>
      <c r="AA21" s="28">
        <v>20</v>
      </c>
      <c r="AB21" s="28">
        <v>0</v>
      </c>
    </row>
    <row r="22" spans="2:28" x14ac:dyDescent="0.3">
      <c r="B22" s="7" t="s">
        <v>42</v>
      </c>
      <c r="C22" s="8" t="s">
        <v>43</v>
      </c>
      <c r="D22" s="8" t="s">
        <v>135</v>
      </c>
      <c r="F22" s="29">
        <f>CHOOSE(LOOKUP(data1!$D$1,{"2014",1;"2015",2;"2016",3}),data1!G25,data1!J25,data1!M25)</f>
        <v>78.895074774978056</v>
      </c>
      <c r="G22" s="29">
        <f>CHOOSE(LOOKUP(data1!$D$1,{"2014",1;"2015",2;"2016",3}),data1!H25,data1!K25,data1!N25)</f>
        <v>45.018993525953164</v>
      </c>
      <c r="H22" s="29">
        <f>CHOOSE(LOOKUP(data1!$D$1,{"2014",1;"2015",2;"2016",3}),data1!I25,data1!L25,data1!O25)</f>
        <v>24.982664284187162</v>
      </c>
      <c r="N22" s="29">
        <f t="shared" si="0"/>
        <v>45.018993525953164</v>
      </c>
      <c r="O22" s="41">
        <f t="shared" si="1"/>
        <v>0.52258763493519356</v>
      </c>
      <c r="P22" s="41" t="str">
        <f t="shared" si="2"/>
        <v/>
      </c>
      <c r="R22" s="29">
        <f ca="1">INDIRECT("data1!"&amp;ADDRESS(ROW(A25),MATCH($R$1,表_查询来自_Excel_Files[[#Headers],[Alabama]:[Puerto Rico]],0)+5,3))</f>
        <v>40.845128953315935</v>
      </c>
      <c r="S22" s="54" t="str">
        <f t="shared" si="3"/>
        <v>MD</v>
      </c>
      <c r="U22" s="29" t="str">
        <f t="shared" ca="1" si="5"/>
        <v>MD</v>
      </c>
      <c r="V22" s="29">
        <f t="shared" ca="1" si="6"/>
        <v>40.845128953315935</v>
      </c>
      <c r="W22" s="29" t="str">
        <f t="shared" si="8"/>
        <v/>
      </c>
      <c r="X22" s="29" t="str">
        <f t="shared" ca="1" si="7"/>
        <v>MD</v>
      </c>
      <c r="Y22" s="29" t="str">
        <f t="shared" ca="1" si="4"/>
        <v/>
      </c>
      <c r="Z22" s="29">
        <f t="shared" ca="1" si="9"/>
        <v>46.848839013636628</v>
      </c>
      <c r="AA22" s="29">
        <v>21</v>
      </c>
      <c r="AB22" s="29">
        <v>0</v>
      </c>
    </row>
    <row r="23" spans="2:28" x14ac:dyDescent="0.3">
      <c r="B23" s="5" t="s">
        <v>44</v>
      </c>
      <c r="C23" s="6" t="s">
        <v>45</v>
      </c>
      <c r="D23" s="6" t="s">
        <v>136</v>
      </c>
      <c r="F23" s="28">
        <f>CHOOSE(LOOKUP(data1!$D$1,{"2014",1;"2015",2;"2016",3}),data1!G26,data1!J26,data1!M26)</f>
        <v>31.263454764526134</v>
      </c>
      <c r="G23" s="28">
        <f>CHOOSE(LOOKUP(data1!$D$1,{"2014",1;"2015",2;"2016",3}),data1!H26,data1!K26,data1!N26)</f>
        <v>24.48403482491387</v>
      </c>
      <c r="H23" s="28">
        <f>CHOOSE(LOOKUP(data1!$D$1,{"2014",1;"2015",2;"2016",3}),data1!I26,data1!L26,data1!O26)</f>
        <v>98.724346268716701</v>
      </c>
      <c r="N23" s="28">
        <f t="shared" si="0"/>
        <v>24.48403482491387</v>
      </c>
      <c r="O23" s="40">
        <f t="shared" si="1"/>
        <v>0.71819999652762434</v>
      </c>
      <c r="P23" s="40" t="str">
        <f t="shared" si="2"/>
        <v/>
      </c>
      <c r="R23" s="28">
        <f ca="1">INDIRECT("data1!"&amp;ADDRESS(ROW(A26),MATCH($R$1,表_查询来自_Excel_Files[[#Headers],[Alabama]:[Puerto Rico]],0)+5,3))</f>
        <v>66.469585547900707</v>
      </c>
      <c r="S23" s="53" t="str">
        <f t="shared" si="3"/>
        <v>MA</v>
      </c>
      <c r="U23" s="28" t="str">
        <f t="shared" ca="1" si="5"/>
        <v>AL</v>
      </c>
      <c r="V23" s="28">
        <f t="shared" ca="1" si="6"/>
        <v>41.371257049039031</v>
      </c>
      <c r="W23" s="28" t="str">
        <f t="shared" ca="1" si="8"/>
        <v>AL</v>
      </c>
      <c r="X23" s="28" t="str">
        <f t="shared" si="7"/>
        <v/>
      </c>
      <c r="Y23" s="28" t="str">
        <f t="shared" ca="1" si="4"/>
        <v/>
      </c>
      <c r="Z23" s="28">
        <f t="shared" ca="1" si="9"/>
        <v>46.848839013636628</v>
      </c>
      <c r="AA23" s="28">
        <v>22</v>
      </c>
      <c r="AB23" s="28">
        <v>0</v>
      </c>
    </row>
    <row r="24" spans="2:28" x14ac:dyDescent="0.3">
      <c r="B24" s="7" t="s">
        <v>46</v>
      </c>
      <c r="C24" s="8" t="s">
        <v>47</v>
      </c>
      <c r="D24" s="8" t="s">
        <v>137</v>
      </c>
      <c r="F24" s="29">
        <f>CHOOSE(LOOKUP(data1!$D$1,{"2014",1;"2015",2;"2016",3}),data1!G27,data1!J27,data1!M27)</f>
        <v>40.567210481801595</v>
      </c>
      <c r="G24" s="29">
        <f>CHOOSE(LOOKUP(data1!$D$1,{"2014",1;"2015",2;"2016",3}),data1!H27,data1!K27,data1!N27)</f>
        <v>55.758451629130747</v>
      </c>
      <c r="H24" s="29">
        <f>CHOOSE(LOOKUP(data1!$D$1,{"2014",1;"2015",2;"2016",3}),data1!I27,data1!L27,data1!O27)</f>
        <v>83.548575526238295</v>
      </c>
      <c r="N24" s="29">
        <f t="shared" si="0"/>
        <v>55.758451629130747</v>
      </c>
      <c r="O24" s="41">
        <f t="shared" si="1"/>
        <v>0.42028546854811372</v>
      </c>
      <c r="P24" s="41" t="str">
        <f t="shared" si="2"/>
        <v/>
      </c>
      <c r="R24" s="29">
        <f ca="1">INDIRECT("data1!"&amp;ADDRESS(ROW(A27),MATCH($R$1,表_查询来自_Excel_Files[[#Headers],[Alabama]:[Puerto Rico]],0)+5,3))</f>
        <v>55.276153774622351</v>
      </c>
      <c r="S24" s="54" t="str">
        <f t="shared" si="3"/>
        <v>MI</v>
      </c>
      <c r="U24" s="29" t="str">
        <f t="shared" ca="1" si="5"/>
        <v>MN</v>
      </c>
      <c r="V24" s="29">
        <f t="shared" ca="1" si="6"/>
        <v>42.00068474911216</v>
      </c>
      <c r="W24" s="29" t="str">
        <f t="shared" si="8"/>
        <v/>
      </c>
      <c r="X24" s="29" t="str">
        <f t="shared" ca="1" si="7"/>
        <v>MN</v>
      </c>
      <c r="Y24" s="29" t="str">
        <f t="shared" ca="1" si="4"/>
        <v/>
      </c>
      <c r="Z24" s="29">
        <f t="shared" ca="1" si="9"/>
        <v>46.848839013636628</v>
      </c>
      <c r="AA24" s="29">
        <v>23</v>
      </c>
      <c r="AB24" s="29">
        <v>0</v>
      </c>
    </row>
    <row r="25" spans="2:28" x14ac:dyDescent="0.3">
      <c r="B25" s="5" t="s">
        <v>48</v>
      </c>
      <c r="C25" s="6" t="s">
        <v>49</v>
      </c>
      <c r="D25" s="6" t="s">
        <v>138</v>
      </c>
      <c r="F25" s="28">
        <f>CHOOSE(LOOKUP(data1!$D$1,{"2014",1;"2015",2;"2016",3}),data1!G28,data1!J28,data1!M28)</f>
        <v>19.307545648382764</v>
      </c>
      <c r="G25" s="28">
        <f>CHOOSE(LOOKUP(data1!$D$1,{"2014",1;"2015",2;"2016",3}),data1!H28,data1!K28,data1!N28)</f>
        <v>27.183847522666372</v>
      </c>
      <c r="H25" s="28">
        <f>CHOOSE(LOOKUP(data1!$D$1,{"2014",1;"2015",2;"2016",3}),data1!I28,data1!L28,data1!O28)</f>
        <v>59.176954153819395</v>
      </c>
      <c r="N25" s="28">
        <f t="shared" si="0"/>
        <v>27.183847522666372</v>
      </c>
      <c r="O25" s="40">
        <f t="shared" si="1"/>
        <v>0.69248206130538936</v>
      </c>
      <c r="P25" s="40" t="str">
        <f t="shared" si="2"/>
        <v/>
      </c>
      <c r="R25" s="28">
        <f ca="1">INDIRECT("data1!"&amp;ADDRESS(ROW(A28),MATCH($R$1,表_查询来自_Excel_Files[[#Headers],[Alabama]:[Puerto Rico]],0)+5,3))</f>
        <v>42.00068474911216</v>
      </c>
      <c r="S25" s="53" t="str">
        <f t="shared" si="3"/>
        <v>MN</v>
      </c>
      <c r="U25" s="28" t="str">
        <f t="shared" ca="1" si="5"/>
        <v>NV</v>
      </c>
      <c r="V25" s="28">
        <f t="shared" ca="1" si="6"/>
        <v>44.219885227327651</v>
      </c>
      <c r="W25" s="28" t="str">
        <f t="shared" ca="1" si="8"/>
        <v>NV</v>
      </c>
      <c r="X25" s="28" t="str">
        <f t="shared" si="7"/>
        <v/>
      </c>
      <c r="Y25" s="28" t="str">
        <f t="shared" ca="1" si="4"/>
        <v/>
      </c>
      <c r="Z25" s="28">
        <f t="shared" ca="1" si="9"/>
        <v>46.848839013636628</v>
      </c>
      <c r="AA25" s="28">
        <v>24</v>
      </c>
      <c r="AB25" s="28">
        <v>0</v>
      </c>
    </row>
    <row r="26" spans="2:28" x14ac:dyDescent="0.3">
      <c r="B26" s="7" t="s">
        <v>50</v>
      </c>
      <c r="C26" s="8" t="s">
        <v>51</v>
      </c>
      <c r="D26" s="8" t="s">
        <v>139</v>
      </c>
      <c r="F26" s="29">
        <f>CHOOSE(LOOKUP(data1!$D$1,{"2014",1;"2015",2;"2016",3}),data1!G29,data1!J29,data1!M29)</f>
        <v>70.800066917490184</v>
      </c>
      <c r="G26" s="29">
        <f>CHOOSE(LOOKUP(data1!$D$1,{"2014",1;"2015",2;"2016",3}),data1!H29,data1!K29,data1!N29)</f>
        <v>25.099721074002112</v>
      </c>
      <c r="H26" s="29">
        <f>CHOOSE(LOOKUP(data1!$D$1,{"2014",1;"2015",2;"2016",3}),data1!I29,data1!L29,data1!O29)</f>
        <v>64.04404016473984</v>
      </c>
      <c r="N26" s="29">
        <f t="shared" si="0"/>
        <v>25.099721074002112</v>
      </c>
      <c r="O26" s="41">
        <f t="shared" si="1"/>
        <v>0.71233507890409675</v>
      </c>
      <c r="P26" s="41" t="str">
        <f t="shared" si="2"/>
        <v/>
      </c>
      <c r="R26" s="29">
        <f ca="1">INDIRECT("data1!"&amp;ADDRESS(ROW(A29),MATCH($R$1,表_查询来自_Excel_Files[[#Headers],[Alabama]:[Puerto Rico]],0)+5,3))</f>
        <v>98.942635496663513</v>
      </c>
      <c r="S26" s="54" t="str">
        <f t="shared" si="3"/>
        <v>MS</v>
      </c>
      <c r="U26" s="29" t="str">
        <f t="shared" ca="1" si="5"/>
        <v>GA</v>
      </c>
      <c r="V26" s="29">
        <f t="shared" ca="1" si="6"/>
        <v>45.704312260655534</v>
      </c>
      <c r="W26" s="29" t="str">
        <f t="shared" si="8"/>
        <v/>
      </c>
      <c r="X26" s="29" t="str">
        <f t="shared" ca="1" si="7"/>
        <v>GA</v>
      </c>
      <c r="Y26" s="29" t="str">
        <f t="shared" ca="1" si="4"/>
        <v/>
      </c>
      <c r="Z26" s="29">
        <f t="shared" ca="1" si="9"/>
        <v>46.848839013636628</v>
      </c>
      <c r="AA26" s="29">
        <v>25</v>
      </c>
      <c r="AB26" s="29">
        <v>0</v>
      </c>
    </row>
    <row r="27" spans="2:28" x14ac:dyDescent="0.3">
      <c r="B27" s="5" t="s">
        <v>52</v>
      </c>
      <c r="C27" s="6" t="s">
        <v>53</v>
      </c>
      <c r="D27" s="6" t="s">
        <v>140</v>
      </c>
      <c r="F27" s="28">
        <f>CHOOSE(LOOKUP(data1!$D$1,{"2014",1;"2015",2;"2016",3}),data1!G30,data1!J30,data1!M30)</f>
        <v>23.706580596761807</v>
      </c>
      <c r="G27" s="28">
        <f>CHOOSE(LOOKUP(data1!$D$1,{"2014",1;"2015",2;"2016",3}),data1!H30,data1!K30,data1!N30)</f>
        <v>75.232876674800892</v>
      </c>
      <c r="H27" s="28">
        <f>CHOOSE(LOOKUP(data1!$D$1,{"2014",1;"2015",2;"2016",3}),data1!I30,data1!L30,data1!O30)</f>
        <v>7.3870926865011732</v>
      </c>
      <c r="N27" s="28">
        <f t="shared" si="0"/>
        <v>75.232876674800892</v>
      </c>
      <c r="O27" s="40">
        <f t="shared" si="1"/>
        <v>0.23477556179356451</v>
      </c>
      <c r="P27" s="40" t="str">
        <f t="shared" si="2"/>
        <v/>
      </c>
      <c r="R27" s="28">
        <f ca="1">INDIRECT("data1!"&amp;ADDRESS(ROW(A30),MATCH($R$1,表_查询来自_Excel_Files[[#Headers],[Alabama]:[Puerto Rico]],0)+5,3))</f>
        <v>26.014439409134383</v>
      </c>
      <c r="S27" s="53" t="str">
        <f t="shared" si="3"/>
        <v>MO</v>
      </c>
      <c r="U27" s="28" t="str">
        <f t="shared" ca="1" si="5"/>
        <v>DC</v>
      </c>
      <c r="V27" s="28">
        <f t="shared" ca="1" si="6"/>
        <v>46.669480724501987</v>
      </c>
      <c r="W27" s="28" t="str">
        <f t="shared" ca="1" si="8"/>
        <v>DC</v>
      </c>
      <c r="X27" s="28" t="str">
        <f t="shared" si="7"/>
        <v/>
      </c>
      <c r="Y27" s="28">
        <f t="shared" ca="1" si="4"/>
        <v>46.669480724501987</v>
      </c>
      <c r="Z27" s="28">
        <f t="shared" ca="1" si="9"/>
        <v>46.848839013636628</v>
      </c>
      <c r="AA27" s="28">
        <v>26</v>
      </c>
      <c r="AB27" s="28">
        <v>0</v>
      </c>
    </row>
    <row r="28" spans="2:28" x14ac:dyDescent="0.3">
      <c r="B28" s="7" t="s">
        <v>54</v>
      </c>
      <c r="C28" s="8" t="s">
        <v>55</v>
      </c>
      <c r="D28" s="8" t="s">
        <v>141</v>
      </c>
      <c r="F28" s="29">
        <f>CHOOSE(LOOKUP(data1!$D$1,{"2014",1;"2015",2;"2016",3}),data1!G31,data1!J31,data1!M31)</f>
        <v>79.74598509151501</v>
      </c>
      <c r="G28" s="29">
        <f>CHOOSE(LOOKUP(data1!$D$1,{"2014",1;"2015",2;"2016",3}),data1!H31,data1!K31,data1!N31)</f>
        <v>17.360604345264854</v>
      </c>
      <c r="H28" s="29">
        <f>CHOOSE(LOOKUP(data1!$D$1,{"2014",1;"2015",2;"2016",3}),data1!I31,data1!L31,data1!O31)</f>
        <v>61.300597296540516</v>
      </c>
      <c r="N28" s="29">
        <f t="shared" si="0"/>
        <v>17.360604345264854</v>
      </c>
      <c r="O28" s="41">
        <f t="shared" si="1"/>
        <v>0.78605652738556675</v>
      </c>
      <c r="P28" s="41" t="str">
        <f t="shared" si="2"/>
        <v/>
      </c>
      <c r="R28" s="29">
        <f ca="1">INDIRECT("data1!"&amp;ADDRESS(ROW(A31),MATCH($R$1,表_查询来自_Excel_Files[[#Headers],[Alabama]:[Puerto Rico]],0)+5,3))</f>
        <v>61.58559855444183</v>
      </c>
      <c r="S28" s="54" t="str">
        <f t="shared" si="3"/>
        <v>MT</v>
      </c>
      <c r="U28" s="29" t="str">
        <f t="shared" ca="1" si="5"/>
        <v>PA</v>
      </c>
      <c r="V28" s="29">
        <f t="shared" ca="1" si="6"/>
        <v>46.80806754681236</v>
      </c>
      <c r="W28" s="29" t="str">
        <f t="shared" si="8"/>
        <v/>
      </c>
      <c r="X28" s="29" t="str">
        <f t="shared" ca="1" si="7"/>
        <v>PA</v>
      </c>
      <c r="Y28" s="29" t="str">
        <f t="shared" ca="1" si="4"/>
        <v/>
      </c>
      <c r="Z28" s="29">
        <f t="shared" ca="1" si="9"/>
        <v>46.848839013636628</v>
      </c>
      <c r="AA28" s="29">
        <v>27</v>
      </c>
      <c r="AB28" s="29">
        <v>0</v>
      </c>
    </row>
    <row r="29" spans="2:28" x14ac:dyDescent="0.3">
      <c r="B29" s="5" t="s">
        <v>56</v>
      </c>
      <c r="C29" s="6" t="s">
        <v>57</v>
      </c>
      <c r="D29" s="6" t="s">
        <v>142</v>
      </c>
      <c r="F29" s="28">
        <f>CHOOSE(LOOKUP(data1!$D$1,{"2014",1;"2015",2;"2016",3}),data1!G32,data1!J32,data1!M32)</f>
        <v>55.853036123888103</v>
      </c>
      <c r="G29" s="28">
        <f>CHOOSE(LOOKUP(data1!$D$1,{"2014",1;"2015",2;"2016",3}),data1!H32,data1!K32,data1!N32)</f>
        <v>34.498373218329291</v>
      </c>
      <c r="H29" s="28">
        <f>CHOOSE(LOOKUP(data1!$D$1,{"2014",1;"2015",2;"2016",3}),data1!I32,data1!L32,data1!O32)</f>
        <v>83.154567069189085</v>
      </c>
      <c r="N29" s="28">
        <f t="shared" si="0"/>
        <v>34.498373218329291</v>
      </c>
      <c r="O29" s="40">
        <f t="shared" si="1"/>
        <v>0.622805191432516</v>
      </c>
      <c r="P29" s="40" t="str">
        <f t="shared" si="2"/>
        <v/>
      </c>
      <c r="R29" s="28">
        <f ca="1">INDIRECT("data1!"&amp;ADDRESS(ROW(A32),MATCH($R$1,表_查询来自_Excel_Files[[#Headers],[Alabama]:[Puerto Rico]],0)+5,3))</f>
        <v>80.426394431816533</v>
      </c>
      <c r="S29" s="53" t="str">
        <f t="shared" si="3"/>
        <v>NE</v>
      </c>
      <c r="U29" s="28" t="str">
        <f t="shared" ca="1" si="5"/>
        <v>NM</v>
      </c>
      <c r="V29" s="28">
        <f t="shared" ca="1" si="6"/>
        <v>47.918371160841154</v>
      </c>
      <c r="W29" s="28" t="str">
        <f t="shared" ca="1" si="8"/>
        <v>NM</v>
      </c>
      <c r="X29" s="28" t="str">
        <f t="shared" si="7"/>
        <v/>
      </c>
      <c r="Y29" s="28" t="str">
        <f t="shared" ca="1" si="4"/>
        <v/>
      </c>
      <c r="Z29" s="28">
        <f t="shared" ca="1" si="9"/>
        <v>46.848839013636628</v>
      </c>
      <c r="AA29" s="28">
        <v>28</v>
      </c>
      <c r="AB29" s="28">
        <v>0</v>
      </c>
    </row>
    <row r="30" spans="2:28" x14ac:dyDescent="0.3">
      <c r="B30" s="7" t="s">
        <v>58</v>
      </c>
      <c r="C30" s="8" t="s">
        <v>59</v>
      </c>
      <c r="D30" s="8" t="s">
        <v>143</v>
      </c>
      <c r="F30" s="29">
        <f>CHOOSE(LOOKUP(data1!$D$1,{"2014",1;"2015",2;"2016",3}),data1!G33,data1!J33,data1!M33)</f>
        <v>61.136759947896124</v>
      </c>
      <c r="G30" s="29">
        <f>CHOOSE(LOOKUP(data1!$D$1,{"2014",1;"2015",2;"2016",3}),data1!H33,data1!K33,data1!N33)</f>
        <v>56.867323054993868</v>
      </c>
      <c r="H30" s="29">
        <f>CHOOSE(LOOKUP(data1!$D$1,{"2014",1;"2015",2;"2016",3}),data1!I33,data1!L33,data1!O33)</f>
        <v>83.333756153873196</v>
      </c>
      <c r="N30" s="29">
        <f t="shared" si="0"/>
        <v>56.867323054993868</v>
      </c>
      <c r="O30" s="41">
        <f t="shared" si="1"/>
        <v>0.40972255671209074</v>
      </c>
      <c r="P30" s="41" t="str">
        <f t="shared" si="2"/>
        <v/>
      </c>
      <c r="R30" s="29">
        <f ca="1">INDIRECT("data1!"&amp;ADDRESS(ROW(A33),MATCH($R$1,表_查询来自_Excel_Files[[#Headers],[Alabama]:[Puerto Rico]],0)+5,3))</f>
        <v>44.219885227327651</v>
      </c>
      <c r="S30" s="54" t="str">
        <f t="shared" si="3"/>
        <v>NV</v>
      </c>
      <c r="U30" s="29" t="str">
        <f t="shared" ca="1" si="5"/>
        <v>NY</v>
      </c>
      <c r="V30" s="29">
        <f t="shared" ca="1" si="6"/>
        <v>48.667009875880062</v>
      </c>
      <c r="W30" s="29" t="str">
        <f t="shared" si="8"/>
        <v/>
      </c>
      <c r="X30" s="29" t="str">
        <f t="shared" ca="1" si="7"/>
        <v>NY</v>
      </c>
      <c r="Y30" s="29" t="str">
        <f t="shared" ca="1" si="4"/>
        <v/>
      </c>
      <c r="Z30" s="29">
        <f t="shared" ca="1" si="9"/>
        <v>46.848839013636628</v>
      </c>
      <c r="AA30" s="29">
        <v>29</v>
      </c>
      <c r="AB30" s="29">
        <v>0</v>
      </c>
    </row>
    <row r="31" spans="2:28" x14ac:dyDescent="0.3">
      <c r="B31" s="5" t="s">
        <v>60</v>
      </c>
      <c r="C31" s="6" t="s">
        <v>61</v>
      </c>
      <c r="D31" s="6" t="s">
        <v>144</v>
      </c>
      <c r="F31" s="28">
        <f>CHOOSE(LOOKUP(data1!$D$1,{"2014",1;"2015",2;"2016",3}),data1!G34,data1!J34,data1!M34)</f>
        <v>40.501649300764853</v>
      </c>
      <c r="G31" s="28">
        <f>CHOOSE(LOOKUP(data1!$D$1,{"2014",1;"2015",2;"2016",3}),data1!H34,data1!K34,data1!N34)</f>
        <v>99.879102640260015</v>
      </c>
      <c r="H31" s="28">
        <f>CHOOSE(LOOKUP(data1!$D$1,{"2014",1;"2015",2;"2016",3}),data1!I34,data1!L34,data1!O34)</f>
        <v>12.94483989458155</v>
      </c>
      <c r="N31" s="28">
        <f t="shared" si="0"/>
        <v>99.879102640260015</v>
      </c>
      <c r="O31" s="40">
        <f t="shared" si="1"/>
        <v>0</v>
      </c>
      <c r="P31" s="40" t="str">
        <f t="shared" si="2"/>
        <v/>
      </c>
      <c r="R31" s="28">
        <f ca="1">INDIRECT("data1!"&amp;ADDRESS(ROW(A34),MATCH($R$1,表_查询来自_Excel_Files[[#Headers],[Alabama]:[Puerto Rico]],0)+5,3))</f>
        <v>94.879223890780978</v>
      </c>
      <c r="S31" s="53" t="str">
        <f t="shared" si="3"/>
        <v>NH</v>
      </c>
      <c r="U31" s="28" t="str">
        <f t="shared" ca="1" si="5"/>
        <v>NJ</v>
      </c>
      <c r="V31" s="28">
        <f t="shared" ca="1" si="6"/>
        <v>49.059976969356946</v>
      </c>
      <c r="W31" s="28" t="str">
        <f t="shared" ca="1" si="8"/>
        <v>NJ</v>
      </c>
      <c r="X31" s="28" t="str">
        <f t="shared" si="7"/>
        <v/>
      </c>
      <c r="Y31" s="28" t="str">
        <f t="shared" ca="1" si="4"/>
        <v/>
      </c>
      <c r="Z31" s="28">
        <f t="shared" ca="1" si="9"/>
        <v>46.848839013636628</v>
      </c>
      <c r="AA31" s="28">
        <v>30</v>
      </c>
      <c r="AB31" s="28">
        <v>0</v>
      </c>
    </row>
    <row r="32" spans="2:28" x14ac:dyDescent="0.3">
      <c r="B32" s="7" t="s">
        <v>62</v>
      </c>
      <c r="C32" s="8" t="s">
        <v>63</v>
      </c>
      <c r="D32" s="8" t="s">
        <v>145</v>
      </c>
      <c r="F32" s="29">
        <f>CHOOSE(LOOKUP(data1!$D$1,{"2014",1;"2015",2;"2016",3}),data1!G35,data1!J35,data1!M35)</f>
        <v>65.683140454573035</v>
      </c>
      <c r="G32" s="29">
        <f>CHOOSE(LOOKUP(data1!$D$1,{"2014",1;"2015",2;"2016",3}),data1!H35,data1!K35,data1!N35)</f>
        <v>83.709996820076938</v>
      </c>
      <c r="H32" s="29">
        <f>CHOOSE(LOOKUP(data1!$D$1,{"2014",1;"2015",2;"2016",3}),data1!I35,data1!L35,data1!O35)</f>
        <v>6.4821444832549151</v>
      </c>
      <c r="N32" s="29">
        <f t="shared" si="0"/>
        <v>83.709996820076938</v>
      </c>
      <c r="O32" s="41">
        <f t="shared" si="1"/>
        <v>0.15402402412252489</v>
      </c>
      <c r="P32" s="41" t="str">
        <f t="shared" si="2"/>
        <v/>
      </c>
      <c r="R32" s="29">
        <f ca="1">INDIRECT("data1!"&amp;ADDRESS(ROW(A35),MATCH($R$1,表_查询来自_Excel_Files[[#Headers],[Alabama]:[Puerto Rico]],0)+5,3))</f>
        <v>49.059976969356946</v>
      </c>
      <c r="S32" s="54" t="str">
        <f t="shared" si="3"/>
        <v>NJ</v>
      </c>
      <c r="U32" s="29" t="str">
        <f t="shared" ca="1" si="5"/>
        <v>WV</v>
      </c>
      <c r="V32" s="29">
        <f t="shared" ca="1" si="6"/>
        <v>49.439183306952451</v>
      </c>
      <c r="W32" s="29" t="str">
        <f t="shared" si="8"/>
        <v/>
      </c>
      <c r="X32" s="29" t="str">
        <f t="shared" ca="1" si="7"/>
        <v>WV</v>
      </c>
      <c r="Y32" s="29" t="str">
        <f t="shared" ca="1" si="4"/>
        <v/>
      </c>
      <c r="Z32" s="29">
        <f t="shared" ca="1" si="9"/>
        <v>46.848839013636628</v>
      </c>
      <c r="AA32" s="29">
        <v>31</v>
      </c>
      <c r="AB32" s="29">
        <v>0</v>
      </c>
    </row>
    <row r="33" spans="2:28" x14ac:dyDescent="0.3">
      <c r="B33" s="5" t="s">
        <v>64</v>
      </c>
      <c r="C33" s="6" t="s">
        <v>65</v>
      </c>
      <c r="D33" s="6" t="s">
        <v>146</v>
      </c>
      <c r="F33" s="28">
        <f>CHOOSE(LOOKUP(data1!$D$1,{"2014",1;"2015",2;"2016",3}),data1!G36,data1!J36,data1!M36)</f>
        <v>25.24741386133703</v>
      </c>
      <c r="G33" s="28">
        <f>CHOOSE(LOOKUP(data1!$D$1,{"2014",1;"2015",2;"2016",3}),data1!H36,data1!K36,data1!N36)</f>
        <v>72.026389214612607</v>
      </c>
      <c r="H33" s="28">
        <f>CHOOSE(LOOKUP(data1!$D$1,{"2014",1;"2015",2;"2016",3}),data1!I36,data1!L36,data1!O36)</f>
        <v>49.664090536452775</v>
      </c>
      <c r="N33" s="28">
        <f t="shared" si="0"/>
        <v>72.026389214612607</v>
      </c>
      <c r="O33" s="40">
        <f t="shared" si="1"/>
        <v>0.26531999062030481</v>
      </c>
      <c r="P33" s="40" t="str">
        <f t="shared" si="2"/>
        <v/>
      </c>
      <c r="R33" s="28">
        <f ca="1">INDIRECT("data1!"&amp;ADDRESS(ROW(A36),MATCH($R$1,表_查询来自_Excel_Files[[#Headers],[Alabama]:[Puerto Rico]],0)+5,3))</f>
        <v>47.918371160841154</v>
      </c>
      <c r="S33" s="53" t="str">
        <f t="shared" si="3"/>
        <v>NM</v>
      </c>
      <c r="U33" s="28" t="str">
        <f t="shared" ca="1" si="5"/>
        <v>OH</v>
      </c>
      <c r="V33" s="28">
        <f t="shared" ca="1" si="6"/>
        <v>50.767952833719278</v>
      </c>
      <c r="W33" s="28" t="str">
        <f t="shared" ca="1" si="8"/>
        <v>OH</v>
      </c>
      <c r="X33" s="28" t="str">
        <f t="shared" si="7"/>
        <v/>
      </c>
      <c r="Y33" s="28" t="str">
        <f t="shared" ca="1" si="4"/>
        <v/>
      </c>
      <c r="Z33" s="28">
        <f t="shared" ca="1" si="9"/>
        <v>46.848839013636628</v>
      </c>
      <c r="AA33" s="28">
        <v>32</v>
      </c>
      <c r="AB33" s="28">
        <v>0</v>
      </c>
    </row>
    <row r="34" spans="2:28" x14ac:dyDescent="0.3">
      <c r="B34" s="7" t="s">
        <v>66</v>
      </c>
      <c r="C34" s="8" t="s">
        <v>67</v>
      </c>
      <c r="D34" s="50" t="s">
        <v>186</v>
      </c>
      <c r="F34" s="29">
        <f>CHOOSE(LOOKUP(data1!$D$1,{"2014",1;"2015",2;"2016",3}),data1!G37,data1!J37,data1!M37)</f>
        <v>84.404116125798112</v>
      </c>
      <c r="G34" s="29">
        <f>CHOOSE(LOOKUP(data1!$D$1,{"2014",1;"2015",2;"2016",3}),data1!H37,data1!K37,data1!N37)</f>
        <v>85.469951488558465</v>
      </c>
      <c r="H34" s="29">
        <f>CHOOSE(LOOKUP(data1!$D$1,{"2014",1;"2015",2;"2016",3}),data1!I37,data1!L37,data1!O37)</f>
        <v>3.8272201533133376</v>
      </c>
      <c r="N34" s="29">
        <f t="shared" ref="N34:N53" si="10">INDEX(F34:H34,cur_sel_id)</f>
        <v>85.469951488558465</v>
      </c>
      <c r="O34" s="41">
        <f t="shared" ref="O34:O53" si="11">IFERROR(((MAXX-N34)/(MAXX-MINX))*0.95,0.05)</f>
        <v>0.13725900920287612</v>
      </c>
      <c r="P34" s="41" t="str">
        <f t="shared" ref="P34:P53" si="12">IF(C34=cur_region,cur_label,"")</f>
        <v/>
      </c>
      <c r="R34" s="29">
        <f ca="1">INDIRECT("data1!"&amp;ADDRESS(ROW(A37),MATCH($R$1,表_查询来自_Excel_Files[[#Headers],[Alabama]:[Puerto Rico]],0)+5,3))</f>
        <v>48.667009875880062</v>
      </c>
      <c r="S34" s="54" t="str">
        <f t="shared" si="3"/>
        <v>NY</v>
      </c>
      <c r="U34" s="29" t="str">
        <f t="shared" ca="1" si="5"/>
        <v>MI</v>
      </c>
      <c r="V34" s="29">
        <f t="shared" ca="1" si="6"/>
        <v>55.276153774622351</v>
      </c>
      <c r="W34" s="29" t="str">
        <f t="shared" si="8"/>
        <v/>
      </c>
      <c r="X34" s="29" t="str">
        <f t="shared" ca="1" si="7"/>
        <v>MI</v>
      </c>
      <c r="Y34" s="29" t="str">
        <f t="shared" ref="Y34:Y53" ca="1" si="13">IF(cur_region=U34,V34,"")</f>
        <v/>
      </c>
      <c r="Z34" s="29">
        <f t="shared" ca="1" si="9"/>
        <v>46.848839013636628</v>
      </c>
      <c r="AA34" s="29">
        <v>33</v>
      </c>
      <c r="AB34" s="29">
        <v>0</v>
      </c>
    </row>
    <row r="35" spans="2:28" x14ac:dyDescent="0.3">
      <c r="B35" s="5" t="s">
        <v>68</v>
      </c>
      <c r="C35" s="6" t="s">
        <v>69</v>
      </c>
      <c r="D35" s="6" t="s">
        <v>148</v>
      </c>
      <c r="F35" s="28">
        <f>CHOOSE(LOOKUP(data1!$D$1,{"2014",1;"2015",2;"2016",3}),data1!G38,data1!J38,data1!M38)</f>
        <v>26.231915104722159</v>
      </c>
      <c r="G35" s="28">
        <f>CHOOSE(LOOKUP(data1!$D$1,{"2014",1;"2015",2;"2016",3}),data1!H38,data1!K38,data1!N38)</f>
        <v>79.010158419279264</v>
      </c>
      <c r="H35" s="28">
        <f>CHOOSE(LOOKUP(data1!$D$1,{"2014",1;"2015",2;"2016",3}),data1!I38,data1!L38,data1!O38)</f>
        <v>43.099708209906915</v>
      </c>
      <c r="N35" s="28">
        <f t="shared" si="10"/>
        <v>79.010158419279264</v>
      </c>
      <c r="O35" s="40">
        <f t="shared" si="11"/>
        <v>0.19879384820969473</v>
      </c>
      <c r="P35" s="40" t="str">
        <f t="shared" si="12"/>
        <v/>
      </c>
      <c r="R35" s="28">
        <f ca="1">INDIRECT("data1!"&amp;ADDRESS(ROW(A38),MATCH($R$1,表_查询来自_Excel_Files[[#Headers],[Alabama]:[Puerto Rico]],0)+5,3))</f>
        <v>9.9538573800189702</v>
      </c>
      <c r="S35" s="53" t="str">
        <f t="shared" si="3"/>
        <v>NC</v>
      </c>
      <c r="U35" s="28" t="str">
        <f t="shared" ca="1" si="5"/>
        <v>CT</v>
      </c>
      <c r="V35" s="28">
        <f t="shared" ca="1" si="6"/>
        <v>55.360260831116015</v>
      </c>
      <c r="W35" s="28" t="str">
        <f t="shared" ca="1" si="8"/>
        <v>CT</v>
      </c>
      <c r="X35" s="28" t="str">
        <f t="shared" si="7"/>
        <v/>
      </c>
      <c r="Y35" s="28" t="str">
        <f t="shared" ca="1" si="13"/>
        <v/>
      </c>
      <c r="Z35" s="28">
        <f t="shared" ca="1" si="9"/>
        <v>46.848839013636628</v>
      </c>
      <c r="AA35" s="28">
        <v>34</v>
      </c>
      <c r="AB35" s="28">
        <v>0</v>
      </c>
    </row>
    <row r="36" spans="2:28" x14ac:dyDescent="0.3">
      <c r="B36" s="7" t="s">
        <v>70</v>
      </c>
      <c r="C36" s="8" t="s">
        <v>71</v>
      </c>
      <c r="D36" s="8" t="s">
        <v>149</v>
      </c>
      <c r="F36" s="29">
        <f>CHOOSE(LOOKUP(data1!$D$1,{"2014",1;"2015",2;"2016",3}),data1!G39,data1!J39,data1!M39)</f>
        <v>78.687484760662386</v>
      </c>
      <c r="G36" s="29">
        <f>CHOOSE(LOOKUP(data1!$D$1,{"2014",1;"2015",2;"2016",3}),data1!H39,data1!K39,data1!N39)</f>
        <v>27.701144838766425</v>
      </c>
      <c r="H36" s="29">
        <f>CHOOSE(LOOKUP(data1!$D$1,{"2014",1;"2015",2;"2016",3}),data1!I39,data1!L39,data1!O39)</f>
        <v>25.19741235500511</v>
      </c>
      <c r="N36" s="29">
        <f t="shared" si="10"/>
        <v>27.701144838766425</v>
      </c>
      <c r="O36" s="41">
        <f t="shared" si="11"/>
        <v>0.68755437914537432</v>
      </c>
      <c r="P36" s="41" t="str">
        <f t="shared" si="12"/>
        <v/>
      </c>
      <c r="R36" s="29">
        <f ca="1">INDIRECT("data1!"&amp;ADDRESS(ROW(A39),MATCH($R$1,表_查询来自_Excel_Files[[#Headers],[Alabama]:[Puerto Rico]],0)+5,3))</f>
        <v>3.0503631718194146</v>
      </c>
      <c r="S36" s="54" t="str">
        <f t="shared" si="3"/>
        <v>ND</v>
      </c>
      <c r="U36" s="29" t="str">
        <f t="shared" ca="1" si="5"/>
        <v>LA</v>
      </c>
      <c r="V36" s="29">
        <f t="shared" ca="1" si="6"/>
        <v>56.619516290464055</v>
      </c>
      <c r="W36" s="29" t="str">
        <f t="shared" si="8"/>
        <v/>
      </c>
      <c r="X36" s="29" t="str">
        <f t="shared" ca="1" si="7"/>
        <v>LA</v>
      </c>
      <c r="Y36" s="29" t="str">
        <f t="shared" ca="1" si="13"/>
        <v/>
      </c>
      <c r="Z36" s="29">
        <f t="shared" ca="1" si="9"/>
        <v>46.848839013636628</v>
      </c>
      <c r="AA36" s="29">
        <v>35</v>
      </c>
      <c r="AB36" s="29">
        <v>0</v>
      </c>
    </row>
    <row r="37" spans="2:28" x14ac:dyDescent="0.3">
      <c r="B37" s="5" t="s">
        <v>72</v>
      </c>
      <c r="C37" s="6" t="s">
        <v>73</v>
      </c>
      <c r="D37" s="6" t="s">
        <v>150</v>
      </c>
      <c r="F37" s="28">
        <f>CHOOSE(LOOKUP(data1!$D$1,{"2014",1;"2015",2;"2016",3}),data1!G40,data1!J40,data1!M40)</f>
        <v>1.7422548828038065</v>
      </c>
      <c r="G37" s="28">
        <f>CHOOSE(LOOKUP(data1!$D$1,{"2014",1;"2015",2;"2016",3}),data1!H40,data1!K40,data1!N40)</f>
        <v>3.0502151621715434</v>
      </c>
      <c r="H37" s="28">
        <f>CHOOSE(LOOKUP(data1!$D$1,{"2014",1;"2015",2;"2016",3}),data1!I40,data1!L40,data1!O40)</f>
        <v>23.660219482130319</v>
      </c>
      <c r="N37" s="28">
        <f t="shared" si="10"/>
        <v>3.0502151621715434</v>
      </c>
      <c r="O37" s="40">
        <f t="shared" si="11"/>
        <v>0.92237474765400995</v>
      </c>
      <c r="P37" s="40" t="str">
        <f t="shared" si="12"/>
        <v/>
      </c>
      <c r="R37" s="28">
        <f ca="1">INDIRECT("data1!"&amp;ADDRESS(ROW(A40),MATCH($R$1,表_查询来自_Excel_Files[[#Headers],[Alabama]:[Puerto Rico]],0)+5,3))</f>
        <v>50.767952833719278</v>
      </c>
      <c r="S37" s="53" t="str">
        <f t="shared" si="3"/>
        <v>OH</v>
      </c>
      <c r="U37" s="28" t="str">
        <f t="shared" ca="1" si="5"/>
        <v>IL</v>
      </c>
      <c r="V37" s="28">
        <f t="shared" ca="1" si="6"/>
        <v>60.323728071247018</v>
      </c>
      <c r="W37" s="28" t="str">
        <f t="shared" ca="1" si="8"/>
        <v>IL</v>
      </c>
      <c r="X37" s="28" t="str">
        <f t="shared" si="7"/>
        <v/>
      </c>
      <c r="Y37" s="28" t="str">
        <f t="shared" ca="1" si="13"/>
        <v/>
      </c>
      <c r="Z37" s="28">
        <f t="shared" ca="1" si="9"/>
        <v>46.848839013636628</v>
      </c>
      <c r="AA37" s="28">
        <v>36</v>
      </c>
      <c r="AB37" s="28">
        <v>0</v>
      </c>
    </row>
    <row r="38" spans="2:28" x14ac:dyDescent="0.3">
      <c r="B38" s="7" t="s">
        <v>74</v>
      </c>
      <c r="C38" s="8" t="s">
        <v>75</v>
      </c>
      <c r="D38" s="8" t="s">
        <v>151</v>
      </c>
      <c r="F38" s="29">
        <f>CHOOSE(LOOKUP(data1!$D$1,{"2014",1;"2015",2;"2016",3}),data1!G41,data1!J41,data1!M41)</f>
        <v>43.304350010985274</v>
      </c>
      <c r="G38" s="29">
        <f>CHOOSE(LOOKUP(data1!$D$1,{"2014",1;"2015",2;"2016",3}),data1!H41,data1!K41,data1!N41)</f>
        <v>83.485748483541784</v>
      </c>
      <c r="H38" s="29">
        <f>CHOOSE(LOOKUP(data1!$D$1,{"2014",1;"2015",2;"2016",3}),data1!I41,data1!L41,data1!O41)</f>
        <v>11.252053971135901</v>
      </c>
      <c r="N38" s="29">
        <f t="shared" si="10"/>
        <v>83.485748483541784</v>
      </c>
      <c r="O38" s="41">
        <f t="shared" si="11"/>
        <v>0.1561601738626554</v>
      </c>
      <c r="P38" s="41" t="str">
        <f t="shared" si="12"/>
        <v/>
      </c>
      <c r="R38" s="29">
        <f ca="1">INDIRECT("data1!"&amp;ADDRESS(ROW(A41),MATCH($R$1,表_查询来自_Excel_Files[[#Headers],[Alabama]:[Puerto Rico]],0)+5,3))</f>
        <v>32.442605724624173</v>
      </c>
      <c r="S38" s="54" t="str">
        <f t="shared" si="3"/>
        <v>OK</v>
      </c>
      <c r="U38" s="29" t="str">
        <f t="shared" ca="1" si="5"/>
        <v>FL</v>
      </c>
      <c r="V38" s="29">
        <f t="shared" ca="1" si="6"/>
        <v>61.562787764101635</v>
      </c>
      <c r="W38" s="29" t="str">
        <f t="shared" si="8"/>
        <v/>
      </c>
      <c r="X38" s="29" t="str">
        <f t="shared" ca="1" si="7"/>
        <v>FL</v>
      </c>
      <c r="Y38" s="29" t="str">
        <f t="shared" ca="1" si="13"/>
        <v/>
      </c>
      <c r="Z38" s="29">
        <f t="shared" ca="1" si="9"/>
        <v>46.848839013636628</v>
      </c>
      <c r="AA38" s="29">
        <v>37</v>
      </c>
      <c r="AB38" s="29">
        <v>0</v>
      </c>
    </row>
    <row r="39" spans="2:28" x14ac:dyDescent="0.3">
      <c r="B39" s="5" t="s">
        <v>76</v>
      </c>
      <c r="C39" s="6" t="s">
        <v>77</v>
      </c>
      <c r="D39" s="6" t="s">
        <v>152</v>
      </c>
      <c r="F39" s="28">
        <f>CHOOSE(LOOKUP(data1!$D$1,{"2014",1;"2015",2;"2016",3}),data1!G42,data1!J42,data1!M42)</f>
        <v>41.822288993756644</v>
      </c>
      <c r="G39" s="28">
        <f>CHOOSE(LOOKUP(data1!$D$1,{"2014",1;"2015",2;"2016",3}),data1!H42,data1!K42,data1!N42)</f>
        <v>60.480906413693511</v>
      </c>
      <c r="H39" s="28">
        <f>CHOOSE(LOOKUP(data1!$D$1,{"2014",1;"2015",2;"2016",3}),data1!I42,data1!L42,data1!O42)</f>
        <v>37.327046470212544</v>
      </c>
      <c r="N39" s="28">
        <f t="shared" si="10"/>
        <v>60.480906413693511</v>
      </c>
      <c r="O39" s="40">
        <f t="shared" si="11"/>
        <v>0.37530020481466181</v>
      </c>
      <c r="P39" s="40" t="str">
        <f t="shared" si="12"/>
        <v/>
      </c>
      <c r="R39" s="28">
        <f ca="1">INDIRECT("data1!"&amp;ADDRESS(ROW(A42),MATCH($R$1,表_查询来自_Excel_Files[[#Headers],[Alabama]:[Puerto Rico]],0)+5,3))</f>
        <v>6.6853325413187665</v>
      </c>
      <c r="S39" s="53" t="str">
        <f t="shared" si="3"/>
        <v>OR</v>
      </c>
      <c r="U39" s="28" t="str">
        <f t="shared" ca="1" si="5"/>
        <v>MT</v>
      </c>
      <c r="V39" s="28">
        <f t="shared" ca="1" si="6"/>
        <v>61.58559855444183</v>
      </c>
      <c r="W39" s="28" t="str">
        <f t="shared" ca="1" si="8"/>
        <v>MT</v>
      </c>
      <c r="X39" s="28" t="str">
        <f t="shared" si="7"/>
        <v/>
      </c>
      <c r="Y39" s="28" t="str">
        <f t="shared" ca="1" si="13"/>
        <v/>
      </c>
      <c r="Z39" s="28">
        <f t="shared" ca="1" si="9"/>
        <v>46.848839013636628</v>
      </c>
      <c r="AA39" s="28">
        <v>38</v>
      </c>
      <c r="AB39" s="28">
        <v>0</v>
      </c>
    </row>
    <row r="40" spans="2:28" x14ac:dyDescent="0.3">
      <c r="B40" s="7" t="s">
        <v>78</v>
      </c>
      <c r="C40" s="8" t="s">
        <v>79</v>
      </c>
      <c r="D40" s="8" t="s">
        <v>153</v>
      </c>
      <c r="F40" s="29">
        <f>CHOOSE(LOOKUP(data1!$D$1,{"2014",1;"2015",2;"2016",3}),data1!G43,data1!J43,data1!M43)</f>
        <v>66.978802899798296</v>
      </c>
      <c r="G40" s="29">
        <f>CHOOSE(LOOKUP(data1!$D$1,{"2014",1;"2015",2;"2016",3}),data1!H43,data1!K43,data1!N43)</f>
        <v>7.6773461345458376</v>
      </c>
      <c r="H40" s="29">
        <f>CHOOSE(LOOKUP(data1!$D$1,{"2014",1;"2015",2;"2016",3}),data1!I43,data1!L43,data1!O43)</f>
        <v>70.835874023524553</v>
      </c>
      <c r="N40" s="29">
        <f t="shared" si="10"/>
        <v>7.6773461345458376</v>
      </c>
      <c r="O40" s="41">
        <f t="shared" si="11"/>
        <v>0.87829752158888963</v>
      </c>
      <c r="P40" s="41" t="str">
        <f t="shared" si="12"/>
        <v/>
      </c>
      <c r="R40" s="29">
        <f ca="1">INDIRECT("data1!"&amp;ADDRESS(ROW(A43),MATCH($R$1,表_查询来自_Excel_Files[[#Headers],[Alabama]:[Puerto Rico]],0)+5,3))</f>
        <v>46.80806754681236</v>
      </c>
      <c r="S40" s="54" t="str">
        <f t="shared" si="3"/>
        <v>PA</v>
      </c>
      <c r="U40" s="29" t="str">
        <f t="shared" ca="1" si="5"/>
        <v>MA</v>
      </c>
      <c r="V40" s="29">
        <f t="shared" ca="1" si="6"/>
        <v>66.469585547900707</v>
      </c>
      <c r="W40" s="29" t="str">
        <f t="shared" si="8"/>
        <v/>
      </c>
      <c r="X40" s="29" t="str">
        <f t="shared" ca="1" si="7"/>
        <v>MA</v>
      </c>
      <c r="Y40" s="29" t="str">
        <f t="shared" ca="1" si="13"/>
        <v/>
      </c>
      <c r="Z40" s="29">
        <f t="shared" ca="1" si="9"/>
        <v>46.848839013636628</v>
      </c>
      <c r="AA40" s="29">
        <v>39</v>
      </c>
      <c r="AB40" s="29">
        <v>0</v>
      </c>
    </row>
    <row r="41" spans="2:28" x14ac:dyDescent="0.3">
      <c r="B41" s="5" t="s">
        <v>80</v>
      </c>
      <c r="C41" s="6" t="s">
        <v>81</v>
      </c>
      <c r="D41" s="6" t="s">
        <v>165</v>
      </c>
      <c r="F41" s="28">
        <f>CHOOSE(LOOKUP(data1!$D$1,{"2014",1;"2015",2;"2016",3}),data1!G44,data1!J44,data1!M44)</f>
        <v>29.824746849211103</v>
      </c>
      <c r="G41" s="28">
        <f>CHOOSE(LOOKUP(data1!$D$1,{"2014",1;"2015",2;"2016",3}),data1!H44,data1!K44,data1!N44)</f>
        <v>37.51542707372321</v>
      </c>
      <c r="H41" s="28">
        <f>CHOOSE(LOOKUP(data1!$D$1,{"2014",1;"2015",2;"2016",3}),data1!I44,data1!L44,data1!O44)</f>
        <v>9.6966601659134728</v>
      </c>
      <c r="N41" s="28">
        <f t="shared" si="10"/>
        <v>37.51542707372321</v>
      </c>
      <c r="O41" s="40">
        <f t="shared" si="11"/>
        <v>0.59406527340797766</v>
      </c>
      <c r="P41" s="40" t="str">
        <f t="shared" si="12"/>
        <v/>
      </c>
      <c r="R41" s="28">
        <f ca="1">INDIRECT("data1!"&amp;ADDRESS(ROW(A44),MATCH($R$1,表_查询来自_Excel_Files[[#Headers],[Alabama]:[Puerto Rico]],0)+5,3))</f>
        <v>33.052979088566694</v>
      </c>
      <c r="S41" s="53" t="str">
        <f t="shared" si="3"/>
        <v>PR</v>
      </c>
      <c r="U41" s="28" t="str">
        <f t="shared" ca="1" si="5"/>
        <v>WI</v>
      </c>
      <c r="V41" s="28">
        <f t="shared" ca="1" si="6"/>
        <v>74.739623275159772</v>
      </c>
      <c r="W41" s="28" t="str">
        <f t="shared" ca="1" si="8"/>
        <v>WI</v>
      </c>
      <c r="X41" s="28" t="str">
        <f t="shared" si="7"/>
        <v/>
      </c>
      <c r="Y41" s="28" t="str">
        <f t="shared" ca="1" si="13"/>
        <v/>
      </c>
      <c r="Z41" s="28">
        <f t="shared" ca="1" si="9"/>
        <v>46.848839013636628</v>
      </c>
      <c r="AA41" s="28">
        <v>40</v>
      </c>
      <c r="AB41" s="28">
        <v>0</v>
      </c>
    </row>
    <row r="42" spans="2:28" x14ac:dyDescent="0.3">
      <c r="B42" s="7" t="s">
        <v>82</v>
      </c>
      <c r="C42" s="8" t="s">
        <v>83</v>
      </c>
      <c r="D42" s="8" t="s">
        <v>154</v>
      </c>
      <c r="F42" s="29">
        <f>CHOOSE(LOOKUP(data1!$D$1,{"2014",1;"2015",2;"2016",3}),data1!G45,data1!J45,data1!M45)</f>
        <v>79.953047611368049</v>
      </c>
      <c r="G42" s="29">
        <f>CHOOSE(LOOKUP(data1!$D$1,{"2014",1;"2015",2;"2016",3}),data1!H45,data1!K45,data1!N45)</f>
        <v>1.0366250584460279</v>
      </c>
      <c r="H42" s="29">
        <f>CHOOSE(LOOKUP(data1!$D$1,{"2014",1;"2015",2;"2016",3}),data1!I45,data1!L45,data1!O45)</f>
        <v>85.663140248311819</v>
      </c>
      <c r="N42" s="29">
        <f t="shared" si="10"/>
        <v>1.0366250584460279</v>
      </c>
      <c r="O42" s="41">
        <f t="shared" si="11"/>
        <v>0.94155584858551356</v>
      </c>
      <c r="P42" s="41" t="str">
        <f t="shared" si="12"/>
        <v/>
      </c>
      <c r="R42" s="29">
        <f ca="1">INDIRECT("data1!"&amp;ADDRESS(ROW(A45),MATCH($R$1,表_查询来自_Excel_Files[[#Headers],[Alabama]:[Puerto Rico]],0)+5,3))</f>
        <v>5.6952620391926834</v>
      </c>
      <c r="S42" s="54" t="str">
        <f t="shared" si="3"/>
        <v>RI</v>
      </c>
      <c r="U42" s="29" t="str">
        <f t="shared" ca="1" si="5"/>
        <v>IN</v>
      </c>
      <c r="V42" s="29">
        <f t="shared" ca="1" si="6"/>
        <v>77.154234689071444</v>
      </c>
      <c r="W42" s="29" t="str">
        <f t="shared" si="8"/>
        <v/>
      </c>
      <c r="X42" s="29" t="str">
        <f t="shared" ca="1" si="7"/>
        <v>IN</v>
      </c>
      <c r="Y42" s="29" t="str">
        <f t="shared" ca="1" si="13"/>
        <v/>
      </c>
      <c r="Z42" s="29">
        <f t="shared" ca="1" si="9"/>
        <v>46.848839013636628</v>
      </c>
      <c r="AA42" s="29">
        <v>41</v>
      </c>
      <c r="AB42" s="29">
        <v>0</v>
      </c>
    </row>
    <row r="43" spans="2:28" x14ac:dyDescent="0.3">
      <c r="B43" s="5" t="s">
        <v>84</v>
      </c>
      <c r="C43" s="6" t="s">
        <v>85</v>
      </c>
      <c r="D43" s="6" t="s">
        <v>155</v>
      </c>
      <c r="F43" s="28">
        <f>CHOOSE(LOOKUP(data1!$D$1,{"2014",1;"2015",2;"2016",3}),data1!G46,data1!J46,data1!M46)</f>
        <v>88.324329890570397</v>
      </c>
      <c r="G43" s="28">
        <f>CHOOSE(LOOKUP(data1!$D$1,{"2014",1;"2015",2;"2016",3}),data1!H46,data1!K46,data1!N46)</f>
        <v>61.487445039982489</v>
      </c>
      <c r="H43" s="28">
        <f>CHOOSE(LOOKUP(data1!$D$1,{"2014",1;"2015",2;"2016",3}),data1!I46,data1!L46,data1!O46)</f>
        <v>79.73551771381247</v>
      </c>
      <c r="N43" s="28">
        <f t="shared" si="10"/>
        <v>61.487445039982489</v>
      </c>
      <c r="O43" s="40">
        <f t="shared" si="11"/>
        <v>0.36571209701328489</v>
      </c>
      <c r="P43" s="40" t="str">
        <f t="shared" si="12"/>
        <v/>
      </c>
      <c r="R43" s="28">
        <f ca="1">INDIRECT("data1!"&amp;ADDRESS(ROW(A46),MATCH($R$1,表_查询来自_Excel_Files[[#Headers],[Alabama]:[Puerto Rico]],0)+5,3))</f>
        <v>8.9090576679342508</v>
      </c>
      <c r="S43" s="53" t="str">
        <f t="shared" si="3"/>
        <v>SC</v>
      </c>
      <c r="U43" s="28" t="str">
        <f t="shared" ca="1" si="5"/>
        <v>HI</v>
      </c>
      <c r="V43" s="28">
        <f t="shared" ca="1" si="6"/>
        <v>77.7120401834826</v>
      </c>
      <c r="W43" s="28" t="str">
        <f t="shared" ca="1" si="8"/>
        <v>HI</v>
      </c>
      <c r="X43" s="28" t="str">
        <f t="shared" si="7"/>
        <v/>
      </c>
      <c r="Y43" s="28" t="str">
        <f t="shared" ca="1" si="13"/>
        <v/>
      </c>
      <c r="Z43" s="28">
        <f t="shared" ca="1" si="9"/>
        <v>46.848839013636628</v>
      </c>
      <c r="AA43" s="28">
        <v>42</v>
      </c>
      <c r="AB43" s="28">
        <v>0</v>
      </c>
    </row>
    <row r="44" spans="2:28" x14ac:dyDescent="0.3">
      <c r="B44" s="7" t="s">
        <v>86</v>
      </c>
      <c r="C44" s="8" t="s">
        <v>87</v>
      </c>
      <c r="D44" s="50" t="s">
        <v>184</v>
      </c>
      <c r="F44" s="29">
        <f>CHOOSE(LOOKUP(data1!$D$1,{"2014",1;"2015",2;"2016",3}),data1!G47,data1!J47,data1!M47)</f>
        <v>89.391250720097901</v>
      </c>
      <c r="G44" s="29">
        <f>CHOOSE(LOOKUP(data1!$D$1,{"2014",1;"2015",2;"2016",3}),data1!H47,data1!K47,data1!N47)</f>
        <v>62.321314829336714</v>
      </c>
      <c r="H44" s="29">
        <f>CHOOSE(LOOKUP(data1!$D$1,{"2014",1;"2015",2;"2016",3}),data1!I47,data1!L47,data1!O47)</f>
        <v>35.114740399661706</v>
      </c>
      <c r="N44" s="29">
        <f t="shared" si="10"/>
        <v>62.321314829336714</v>
      </c>
      <c r="O44" s="41">
        <f t="shared" si="11"/>
        <v>0.35776880181942078</v>
      </c>
      <c r="P44" s="41" t="str">
        <f t="shared" si="12"/>
        <v/>
      </c>
      <c r="R44" s="29">
        <f ca="1">INDIRECT("data1!"&amp;ADDRESS(ROW(A47),MATCH($R$1,表_查询来自_Excel_Files[[#Headers],[Alabama]:[Puerto Rico]],0)+5,3))</f>
        <v>7.4447652822688841</v>
      </c>
      <c r="S44" s="54" t="str">
        <f t="shared" si="3"/>
        <v>SD</v>
      </c>
      <c r="U44" s="29" t="str">
        <f t="shared" ca="1" si="5"/>
        <v>NE</v>
      </c>
      <c r="V44" s="29">
        <f t="shared" ca="1" si="6"/>
        <v>80.426394431816533</v>
      </c>
      <c r="W44" s="29" t="str">
        <f t="shared" si="8"/>
        <v/>
      </c>
      <c r="X44" s="29" t="str">
        <f t="shared" ca="1" si="7"/>
        <v>NE</v>
      </c>
      <c r="Y44" s="29" t="str">
        <f t="shared" ca="1" si="13"/>
        <v/>
      </c>
      <c r="Z44" s="29">
        <f t="shared" ca="1" si="9"/>
        <v>46.848839013636628</v>
      </c>
      <c r="AA44" s="29">
        <v>43</v>
      </c>
      <c r="AB44" s="29">
        <v>0</v>
      </c>
    </row>
    <row r="45" spans="2:28" x14ac:dyDescent="0.3">
      <c r="B45" s="5" t="s">
        <v>185</v>
      </c>
      <c r="C45" s="6" t="s">
        <v>89</v>
      </c>
      <c r="D45" s="51" t="s">
        <v>156</v>
      </c>
      <c r="F45" s="28">
        <f>CHOOSE(LOOKUP(data1!$D$1,{"2014",1;"2015",2;"2016",3}),data1!G48,data1!J48,data1!M48)</f>
        <v>66.146731585587688</v>
      </c>
      <c r="G45" s="28">
        <f>CHOOSE(LOOKUP(data1!$D$1,{"2014",1;"2015",2;"2016",3}),data1!H48,data1!K48,data1!N48)</f>
        <v>12.080817866102954</v>
      </c>
      <c r="H45" s="28">
        <f>CHOOSE(LOOKUP(data1!$D$1,{"2014",1;"2015",2;"2016",3}),data1!I48,data1!L48,data1!O48)</f>
        <v>80.598248459194238</v>
      </c>
      <c r="N45" s="28">
        <f t="shared" si="10"/>
        <v>12.080817866102954</v>
      </c>
      <c r="O45" s="40">
        <f t="shared" si="11"/>
        <v>0.83635083364294294</v>
      </c>
      <c r="P45" s="40" t="str">
        <f t="shared" si="12"/>
        <v/>
      </c>
      <c r="R45" s="28">
        <f ca="1">INDIRECT("data1!"&amp;ADDRESS(ROW(A48),MATCH($R$1,表_查询来自_Excel_Files[[#Headers],[Alabama]:[Puerto Rico]],0)+5,3))</f>
        <v>83.358141822478984</v>
      </c>
      <c r="S45" s="53" t="str">
        <f t="shared" si="3"/>
        <v>TN</v>
      </c>
      <c r="U45" s="28" t="str">
        <f t="shared" ca="1" si="5"/>
        <v>WA</v>
      </c>
      <c r="V45" s="28">
        <f t="shared" ca="1" si="6"/>
        <v>82.076668820762833</v>
      </c>
      <c r="W45" s="28" t="str">
        <f t="shared" ca="1" si="8"/>
        <v>WA</v>
      </c>
      <c r="X45" s="28" t="str">
        <f t="shared" si="7"/>
        <v/>
      </c>
      <c r="Y45" s="28" t="str">
        <f t="shared" ca="1" si="13"/>
        <v/>
      </c>
      <c r="Z45" s="28">
        <f t="shared" ca="1" si="9"/>
        <v>46.848839013636628</v>
      </c>
      <c r="AA45" s="28">
        <v>44</v>
      </c>
      <c r="AB45" s="28">
        <v>0</v>
      </c>
    </row>
    <row r="46" spans="2:28" x14ac:dyDescent="0.3">
      <c r="B46" s="7" t="s">
        <v>90</v>
      </c>
      <c r="C46" s="8" t="s">
        <v>91</v>
      </c>
      <c r="D46" s="8" t="s">
        <v>157</v>
      </c>
      <c r="F46" s="29">
        <f>CHOOSE(LOOKUP(data1!$D$1,{"2014",1;"2015",2;"2016",3}),data1!G49,data1!J49,data1!M49)</f>
        <v>5.107441432407489</v>
      </c>
      <c r="G46" s="29">
        <f>CHOOSE(LOOKUP(data1!$D$1,{"2014",1;"2015",2;"2016",3}),data1!H49,data1!K49,data1!N49)</f>
        <v>5.8997669252643821</v>
      </c>
      <c r="H46" s="29">
        <f>CHOOSE(LOOKUP(data1!$D$1,{"2014",1;"2015",2;"2016",3}),data1!I49,data1!L49,data1!O49)</f>
        <v>5.6890867910564413</v>
      </c>
      <c r="N46" s="29">
        <f t="shared" si="10"/>
        <v>5.8997669252643821</v>
      </c>
      <c r="O46" s="41">
        <f t="shared" si="11"/>
        <v>0.89523042474722681</v>
      </c>
      <c r="P46" s="41" t="str">
        <f t="shared" si="12"/>
        <v/>
      </c>
      <c r="R46" s="29">
        <f ca="1">INDIRECT("data1!"&amp;ADDRESS(ROW(A49),MATCH($R$1,表_查询来自_Excel_Files[[#Headers],[Alabama]:[Puerto Rico]],0)+5,3))</f>
        <v>18.288616143582146</v>
      </c>
      <c r="S46" s="54" t="str">
        <f t="shared" si="3"/>
        <v>TX</v>
      </c>
      <c r="U46" s="29" t="str">
        <f t="shared" ca="1" si="5"/>
        <v>DE</v>
      </c>
      <c r="V46" s="29">
        <f t="shared" ca="1" si="6"/>
        <v>82.320350007953166</v>
      </c>
      <c r="W46" s="29" t="str">
        <f t="shared" si="8"/>
        <v/>
      </c>
      <c r="X46" s="29" t="str">
        <f t="shared" ca="1" si="7"/>
        <v>DE</v>
      </c>
      <c r="Y46" s="29" t="str">
        <f t="shared" ca="1" si="13"/>
        <v/>
      </c>
      <c r="Z46" s="29">
        <f t="shared" ca="1" si="9"/>
        <v>46.848839013636628</v>
      </c>
      <c r="AA46" s="29">
        <v>45</v>
      </c>
      <c r="AB46" s="29">
        <v>0</v>
      </c>
    </row>
    <row r="47" spans="2:28" x14ac:dyDescent="0.3">
      <c r="B47" s="5" t="s">
        <v>92</v>
      </c>
      <c r="C47" s="6" t="s">
        <v>93</v>
      </c>
      <c r="D47" s="6" t="s">
        <v>158</v>
      </c>
      <c r="F47" s="28">
        <f>CHOOSE(LOOKUP(data1!$D$1,{"2014",1;"2015",2;"2016",3}),data1!G50,data1!J50,data1!M50)</f>
        <v>89.146347578493135</v>
      </c>
      <c r="G47" s="28">
        <f>CHOOSE(LOOKUP(data1!$D$1,{"2014",1;"2015",2;"2016",3}),data1!H50,data1!K50,data1!N50)</f>
        <v>57.122173544085207</v>
      </c>
      <c r="H47" s="28">
        <f>CHOOSE(LOOKUP(data1!$D$1,{"2014",1;"2015",2;"2016",3}),data1!I50,data1!L50,data1!O50)</f>
        <v>55.175505286976389</v>
      </c>
      <c r="N47" s="28">
        <f t="shared" si="10"/>
        <v>57.122173544085207</v>
      </c>
      <c r="O47" s="40">
        <f t="shared" si="11"/>
        <v>0.40729489631355192</v>
      </c>
      <c r="P47" s="40" t="str">
        <f t="shared" si="12"/>
        <v/>
      </c>
      <c r="R47" s="28">
        <f ca="1">INDIRECT("data1!"&amp;ADDRESS(ROW(A50),MATCH($R$1,表_查询来自_Excel_Files[[#Headers],[Alabama]:[Puerto Rico]],0)+5,3))</f>
        <v>28.240685240690667</v>
      </c>
      <c r="S47" s="53" t="str">
        <f t="shared" si="3"/>
        <v>UT</v>
      </c>
      <c r="U47" s="28" t="str">
        <f t="shared" ca="1" si="5"/>
        <v>VT</v>
      </c>
      <c r="V47" s="28">
        <f t="shared" ca="1" si="6"/>
        <v>82.795571497259346</v>
      </c>
      <c r="W47" s="28" t="str">
        <f t="shared" ca="1" si="8"/>
        <v>VT</v>
      </c>
      <c r="X47" s="28" t="str">
        <f t="shared" si="7"/>
        <v/>
      </c>
      <c r="Y47" s="28" t="str">
        <f t="shared" ca="1" si="13"/>
        <v/>
      </c>
      <c r="Z47" s="28">
        <f t="shared" ca="1" si="9"/>
        <v>46.848839013636628</v>
      </c>
      <c r="AA47" s="28">
        <v>46</v>
      </c>
      <c r="AB47" s="28">
        <v>0</v>
      </c>
    </row>
    <row r="48" spans="2:28" x14ac:dyDescent="0.3">
      <c r="B48" s="7" t="s">
        <v>94</v>
      </c>
      <c r="C48" s="8" t="s">
        <v>95</v>
      </c>
      <c r="D48" s="8" t="s">
        <v>159</v>
      </c>
      <c r="F48" s="29">
        <f>CHOOSE(LOOKUP(data1!$D$1,{"2014",1;"2015",2;"2016",3}),data1!G51,data1!J51,data1!M51)</f>
        <v>91.59419826325896</v>
      </c>
      <c r="G48" s="29">
        <f>CHOOSE(LOOKUP(data1!$D$1,{"2014",1;"2015",2;"2016",3}),data1!H51,data1!K51,data1!N51)</f>
        <v>81.350019706843042</v>
      </c>
      <c r="H48" s="29">
        <f>CHOOSE(LOOKUP(data1!$D$1,{"2014",1;"2015",2;"2016",3}),data1!I51,data1!L51,data1!O51)</f>
        <v>62.958623026818891</v>
      </c>
      <c r="N48" s="29">
        <f t="shared" si="10"/>
        <v>81.350019706843042</v>
      </c>
      <c r="O48" s="41">
        <f t="shared" si="11"/>
        <v>0.17650474605358024</v>
      </c>
      <c r="P48" s="41" t="str">
        <f t="shared" si="12"/>
        <v/>
      </c>
      <c r="R48" s="29">
        <f ca="1">INDIRECT("data1!"&amp;ADDRESS(ROW(A51),MATCH($R$1,表_查询来自_Excel_Files[[#Headers],[Alabama]:[Puerto Rico]],0)+5,3))</f>
        <v>82.795571497259346</v>
      </c>
      <c r="S48" s="54" t="str">
        <f t="shared" si="3"/>
        <v>VT</v>
      </c>
      <c r="U48" s="29" t="str">
        <f t="shared" ca="1" si="5"/>
        <v>TN</v>
      </c>
      <c r="V48" s="29">
        <f t="shared" ca="1" si="6"/>
        <v>83.358141822478984</v>
      </c>
      <c r="W48" s="29" t="str">
        <f t="shared" si="8"/>
        <v/>
      </c>
      <c r="X48" s="29" t="str">
        <f t="shared" ca="1" si="7"/>
        <v>TN</v>
      </c>
      <c r="Y48" s="29" t="str">
        <f t="shared" ca="1" si="13"/>
        <v/>
      </c>
      <c r="Z48" s="29">
        <f t="shared" ca="1" si="9"/>
        <v>46.848839013636628</v>
      </c>
      <c r="AA48" s="29">
        <v>47</v>
      </c>
      <c r="AB48" s="29">
        <v>0</v>
      </c>
    </row>
    <row r="49" spans="2:28" x14ac:dyDescent="0.3">
      <c r="B49" s="5" t="s">
        <v>96</v>
      </c>
      <c r="C49" s="6" t="s">
        <v>97</v>
      </c>
      <c r="D49" s="6" t="s">
        <v>160</v>
      </c>
      <c r="F49" s="28">
        <f>CHOOSE(LOOKUP(data1!$D$1,{"2014",1;"2015",2;"2016",3}),data1!G52,data1!J52,data1!M52)</f>
        <v>22.503722097635858</v>
      </c>
      <c r="G49" s="28">
        <f>CHOOSE(LOOKUP(data1!$D$1,{"2014",1;"2015",2;"2016",3}),data1!H52,data1!K52,data1!N52)</f>
        <v>0.15017647641271115</v>
      </c>
      <c r="H49" s="28">
        <f>CHOOSE(LOOKUP(data1!$D$1,{"2014",1;"2015",2;"2016",3}),data1!I52,data1!L52,data1!O52)</f>
        <v>85.569126155644341</v>
      </c>
      <c r="N49" s="28">
        <f t="shared" si="10"/>
        <v>0.15017647641271115</v>
      </c>
      <c r="O49" s="40">
        <f t="shared" si="11"/>
        <v>0.95</v>
      </c>
      <c r="P49" s="40" t="str">
        <f t="shared" si="12"/>
        <v/>
      </c>
      <c r="R49" s="28">
        <f ca="1">INDIRECT("data1!"&amp;ADDRESS(ROW(A52),MATCH($R$1,表_查询来自_Excel_Files[[#Headers],[Alabama]:[Puerto Rico]],0)+5,3))</f>
        <v>34.975229259426264</v>
      </c>
      <c r="S49" s="53" t="str">
        <f t="shared" si="3"/>
        <v>VA</v>
      </c>
      <c r="U49" s="28" t="str">
        <f t="shared" ca="1" si="5"/>
        <v>CO</v>
      </c>
      <c r="V49" s="28">
        <f t="shared" ca="1" si="6"/>
        <v>89.497149247647073</v>
      </c>
      <c r="W49" s="28" t="str">
        <f t="shared" ca="1" si="8"/>
        <v>CO</v>
      </c>
      <c r="X49" s="28" t="str">
        <f t="shared" si="7"/>
        <v/>
      </c>
      <c r="Y49" s="28" t="str">
        <f t="shared" ca="1" si="13"/>
        <v/>
      </c>
      <c r="Z49" s="28">
        <f t="shared" ca="1" si="9"/>
        <v>46.848839013636628</v>
      </c>
      <c r="AA49" s="28">
        <v>48</v>
      </c>
      <c r="AB49" s="28">
        <v>0</v>
      </c>
    </row>
    <row r="50" spans="2:28" x14ac:dyDescent="0.3">
      <c r="B50" s="7" t="s">
        <v>98</v>
      </c>
      <c r="C50" s="8" t="s">
        <v>99</v>
      </c>
      <c r="D50" s="8" t="s">
        <v>161</v>
      </c>
      <c r="F50" s="29">
        <f>CHOOSE(LOOKUP(data1!$D$1,{"2014",1;"2015",2;"2016",3}),data1!G53,data1!J53,data1!M53)</f>
        <v>46.672264189795307</v>
      </c>
      <c r="G50" s="29">
        <f>CHOOSE(LOOKUP(data1!$D$1,{"2014",1;"2015",2;"2016",3}),data1!H53,data1!K53,data1!N53)</f>
        <v>72.402842118259372</v>
      </c>
      <c r="H50" s="29">
        <f>CHOOSE(LOOKUP(data1!$D$1,{"2014",1;"2015",2;"2016",3}),data1!I53,data1!L53,data1!O53)</f>
        <v>26.743976138008907</v>
      </c>
      <c r="N50" s="29">
        <f t="shared" si="10"/>
        <v>72.402842118259372</v>
      </c>
      <c r="O50" s="41">
        <f t="shared" si="11"/>
        <v>0.26173396726458481</v>
      </c>
      <c r="P50" s="41" t="str">
        <f t="shared" si="12"/>
        <v/>
      </c>
      <c r="R50" s="29">
        <f ca="1">INDIRECT("data1!"&amp;ADDRESS(ROW(A53),MATCH($R$1,表_查询来自_Excel_Files[[#Headers],[Alabama]:[Puerto Rico]],0)+5,3))</f>
        <v>82.076668820762833</v>
      </c>
      <c r="S50" s="54" t="str">
        <f t="shared" si="3"/>
        <v>WA</v>
      </c>
      <c r="U50" s="29" t="str">
        <f t="shared" ca="1" si="5"/>
        <v>CA</v>
      </c>
      <c r="V50" s="29">
        <f t="shared" ca="1" si="6"/>
        <v>94.438509339673487</v>
      </c>
      <c r="W50" s="29" t="str">
        <f t="shared" si="8"/>
        <v/>
      </c>
      <c r="X50" s="29" t="str">
        <f t="shared" ca="1" si="7"/>
        <v>CA</v>
      </c>
      <c r="Y50" s="29" t="str">
        <f t="shared" ca="1" si="13"/>
        <v/>
      </c>
      <c r="Z50" s="29">
        <f t="shared" ca="1" si="9"/>
        <v>46.848839013636628</v>
      </c>
      <c r="AA50" s="29">
        <v>49</v>
      </c>
      <c r="AB50" s="29">
        <v>0</v>
      </c>
    </row>
    <row r="51" spans="2:28" x14ac:dyDescent="0.3">
      <c r="B51" s="5" t="s">
        <v>100</v>
      </c>
      <c r="C51" s="6" t="s">
        <v>101</v>
      </c>
      <c r="D51" s="6" t="s">
        <v>162</v>
      </c>
      <c r="F51" s="28">
        <f>CHOOSE(LOOKUP(data1!$D$1,{"2014",1;"2015",2;"2016",3}),data1!G54,data1!J54,data1!M54)</f>
        <v>1.6665329034864285</v>
      </c>
      <c r="G51" s="28">
        <f>CHOOSE(LOOKUP(data1!$D$1,{"2014",1;"2015",2;"2016",3}),data1!H54,data1!K54,data1!N54)</f>
        <v>62.802309397382459</v>
      </c>
      <c r="H51" s="28">
        <f>CHOOSE(LOOKUP(data1!$D$1,{"2014",1;"2015",2;"2016",3}),data1!I54,data1!L54,data1!O54)</f>
        <v>98.747933280183531</v>
      </c>
      <c r="N51" s="28">
        <f t="shared" si="10"/>
        <v>62.802309397382459</v>
      </c>
      <c r="O51" s="40">
        <f t="shared" si="11"/>
        <v>0.35318693317588673</v>
      </c>
      <c r="P51" s="40" t="str">
        <f t="shared" si="12"/>
        <v/>
      </c>
      <c r="R51" s="28">
        <f ca="1">INDIRECT("data1!"&amp;ADDRESS(ROW(A54),MATCH($R$1,表_查询来自_Excel_Files[[#Headers],[Alabama]:[Puerto Rico]],0)+5,3))</f>
        <v>49.439183306952451</v>
      </c>
      <c r="S51" s="53" t="str">
        <f t="shared" si="3"/>
        <v>WV</v>
      </c>
      <c r="U51" s="28" t="str">
        <f t="shared" ca="1" si="5"/>
        <v>NH</v>
      </c>
      <c r="V51" s="28">
        <f t="shared" ca="1" si="6"/>
        <v>94.879223890780978</v>
      </c>
      <c r="W51" s="28" t="str">
        <f t="shared" ca="1" si="8"/>
        <v>NH</v>
      </c>
      <c r="X51" s="28" t="str">
        <f t="shared" si="7"/>
        <v/>
      </c>
      <c r="Y51" s="28" t="str">
        <f t="shared" ca="1" si="13"/>
        <v/>
      </c>
      <c r="Z51" s="28">
        <f t="shared" ca="1" si="9"/>
        <v>46.848839013636628</v>
      </c>
      <c r="AA51" s="28">
        <v>50</v>
      </c>
      <c r="AB51" s="28">
        <v>0</v>
      </c>
    </row>
    <row r="52" spans="2:28" x14ac:dyDescent="0.3">
      <c r="B52" s="7" t="s">
        <v>102</v>
      </c>
      <c r="C52" s="8" t="s">
        <v>103</v>
      </c>
      <c r="D52" s="8" t="s">
        <v>163</v>
      </c>
      <c r="F52" s="29">
        <f>CHOOSE(LOOKUP(data1!$D$1,{"2014",1;"2015",2;"2016",3}),data1!G55,data1!J55,data1!M55)</f>
        <v>94.230629501069956</v>
      </c>
      <c r="G52" s="29">
        <f>CHOOSE(LOOKUP(data1!$D$1,{"2014",1;"2015",2;"2016",3}),data1!H55,data1!K55,data1!N55)</f>
        <v>44.780873133489038</v>
      </c>
      <c r="H52" s="29">
        <f>CHOOSE(LOOKUP(data1!$D$1,{"2014",1;"2015",2;"2016",3}),data1!I55,data1!L55,data1!O55)</f>
        <v>7.7425600388366096</v>
      </c>
      <c r="N52" s="29">
        <f t="shared" si="10"/>
        <v>44.780873133489038</v>
      </c>
      <c r="O52" s="41">
        <f t="shared" si="11"/>
        <v>0.52485592741103215</v>
      </c>
      <c r="P52" s="41" t="str">
        <f t="shared" si="12"/>
        <v/>
      </c>
      <c r="R52" s="29">
        <f ca="1">INDIRECT("data1!"&amp;ADDRESS(ROW(A55),MATCH($R$1,表_查询来自_Excel_Files[[#Headers],[Alabama]:[Puerto Rico]],0)+5,3))</f>
        <v>74.739623275159772</v>
      </c>
      <c r="S52" s="54" t="str">
        <f t="shared" si="3"/>
        <v>WI</v>
      </c>
      <c r="U52" s="29" t="str">
        <f t="shared" ca="1" si="5"/>
        <v>KY</v>
      </c>
      <c r="V52" s="29">
        <f t="shared" ca="1" si="6"/>
        <v>98.042933886093408</v>
      </c>
      <c r="W52" s="29" t="str">
        <f t="shared" si="8"/>
        <v/>
      </c>
      <c r="X52" s="29" t="str">
        <f t="shared" ca="1" si="7"/>
        <v>KY</v>
      </c>
      <c r="Y52" s="29" t="str">
        <f t="shared" ca="1" si="13"/>
        <v/>
      </c>
      <c r="Z52" s="29">
        <f t="shared" ca="1" si="9"/>
        <v>46.848839013636628</v>
      </c>
      <c r="AA52" s="29">
        <v>51</v>
      </c>
      <c r="AB52" s="29">
        <v>0</v>
      </c>
    </row>
    <row r="53" spans="2:28" x14ac:dyDescent="0.3">
      <c r="B53" s="5" t="s">
        <v>104</v>
      </c>
      <c r="C53" s="6" t="s">
        <v>105</v>
      </c>
      <c r="D53" s="6" t="s">
        <v>164</v>
      </c>
      <c r="F53" s="28">
        <f>CHOOSE(LOOKUP(data1!$D$1,{"2014",1;"2015",2;"2016",3}),data1!G56,data1!J56,data1!M56)</f>
        <v>37.844500318634729</v>
      </c>
      <c r="G53" s="28">
        <f>CHOOSE(LOOKUP(data1!$D$1,{"2014",1;"2015",2;"2016",3}),data1!H56,data1!K56,data1!N56)</f>
        <v>93.07559514339529</v>
      </c>
      <c r="H53" s="28">
        <f>CHOOSE(LOOKUP(data1!$D$1,{"2014",1;"2015",2;"2016",3}),data1!I56,data1!L56,data1!O56)</f>
        <v>1.6126503551904703</v>
      </c>
      <c r="N53" s="28">
        <f t="shared" si="10"/>
        <v>93.07559514339529</v>
      </c>
      <c r="O53" s="40">
        <f t="shared" si="11"/>
        <v>6.4809001466662824E-2</v>
      </c>
      <c r="P53" s="40" t="str">
        <f t="shared" si="12"/>
        <v/>
      </c>
      <c r="R53" s="28">
        <f ca="1">INDIRECT("data1!"&amp;ADDRESS(ROW(A56),MATCH($R$1,表_查询来自_Excel_Files[[#Headers],[Alabama]:[Puerto Rico]],0)+5,3))</f>
        <v>2.1219650531538625</v>
      </c>
      <c r="S53" s="53" t="str">
        <f t="shared" si="3"/>
        <v>WY</v>
      </c>
      <c r="U53" s="28" t="str">
        <f t="shared" ca="1" si="5"/>
        <v>MS</v>
      </c>
      <c r="V53" s="28">
        <f t="shared" ca="1" si="6"/>
        <v>98.942635496663513</v>
      </c>
      <c r="W53" s="28" t="str">
        <f t="shared" ca="1" si="8"/>
        <v>MS</v>
      </c>
      <c r="X53" s="28" t="str">
        <f t="shared" si="7"/>
        <v/>
      </c>
      <c r="Y53" s="28" t="str">
        <f t="shared" ca="1" si="13"/>
        <v/>
      </c>
      <c r="Z53" s="28">
        <f t="shared" ca="1" si="9"/>
        <v>46.848839013636628</v>
      </c>
      <c r="AA53" s="28">
        <v>52</v>
      </c>
      <c r="AB53" s="28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L37"/>
  <sheetViews>
    <sheetView showGridLines="0" showRowColHeaders="0" tabSelected="1" topLeftCell="A2" zoomScaleNormal="100" workbookViewId="0">
      <selection activeCell="A23" sqref="A23"/>
    </sheetView>
  </sheetViews>
  <sheetFormatPr defaultColWidth="9.109375" defaultRowHeight="14.4" x14ac:dyDescent="0.3"/>
  <cols>
    <col min="1" max="1" width="36.44140625" style="43" customWidth="1"/>
    <col min="2" max="2" width="13.44140625" style="43" customWidth="1"/>
    <col min="3" max="5" width="23.6640625" style="43" customWidth="1"/>
    <col min="6" max="10" width="9.109375" style="43"/>
    <col min="11" max="11" width="9.44140625" style="43" bestFit="1" customWidth="1"/>
    <col min="12" max="16384" width="9.109375" style="43"/>
  </cols>
  <sheetData>
    <row r="1" spans="1:12" ht="3" hidden="1" customHeight="1" x14ac:dyDescent="0.35">
      <c r="C1" s="61"/>
      <c r="D1" s="61"/>
      <c r="E1" s="61"/>
    </row>
    <row r="2" spans="1:12" ht="3" customHeight="1" x14ac:dyDescent="0.35">
      <c r="C2" s="61"/>
      <c r="D2" s="61"/>
      <c r="E2" s="61"/>
    </row>
    <row r="3" spans="1:12" ht="21" x14ac:dyDescent="0.3">
      <c r="A3" s="64"/>
      <c r="B3" s="72" t="s">
        <v>171</v>
      </c>
      <c r="C3" s="62" t="str">
        <f>IFERROR(HYPERLINK(record_id(index!F1),index!F1),index!F1)</f>
        <v>Economist</v>
      </c>
      <c r="D3" s="62" t="str">
        <f>IFERROR(HYPERLINK(record_id(index!G1),index!G1),index!G1)</f>
        <v>Demographics</v>
      </c>
      <c r="E3" s="62" t="str">
        <f>IFERROR(HYPERLINK(record_id(index!H1),index!H1),index!H1)</f>
        <v>Politics</v>
      </c>
      <c r="F3" s="65" t="s">
        <v>172</v>
      </c>
      <c r="G3" s="64"/>
      <c r="H3" s="64"/>
    </row>
    <row r="4" spans="1:12" ht="9" customHeight="1" x14ac:dyDescent="0.3">
      <c r="A4" s="64"/>
      <c r="B4" s="64"/>
      <c r="C4" s="64"/>
      <c r="D4" s="64"/>
      <c r="E4" s="64"/>
      <c r="F4" s="64"/>
      <c r="G4" s="64"/>
      <c r="H4" s="64"/>
    </row>
    <row r="5" spans="1:12" ht="20.25" customHeight="1" x14ac:dyDescent="0.4">
      <c r="A5" s="64"/>
      <c r="B5" s="66" t="s">
        <v>173</v>
      </c>
      <c r="C5" s="64"/>
      <c r="D5" s="67"/>
      <c r="E5" s="64"/>
      <c r="F5" s="64"/>
      <c r="G5" s="64"/>
      <c r="H5" s="64"/>
      <c r="K5" s="63">
        <v>2</v>
      </c>
    </row>
    <row r="6" spans="1:12" ht="18" x14ac:dyDescent="0.35">
      <c r="A6" s="64"/>
      <c r="B6" s="64"/>
      <c r="C6" s="64"/>
      <c r="D6" s="68" t="str">
        <f>index!J9</f>
        <v>哥伦比亚特区</v>
      </c>
      <c r="E6" s="64"/>
      <c r="F6" s="64"/>
      <c r="G6" s="64"/>
      <c r="H6" s="64"/>
      <c r="K6" s="63" t="s">
        <v>198</v>
      </c>
    </row>
    <row r="7" spans="1:12" x14ac:dyDescent="0.3">
      <c r="A7" s="64"/>
      <c r="B7" s="64"/>
      <c r="C7" s="64"/>
      <c r="D7" s="64"/>
      <c r="E7" s="64"/>
      <c r="F7" s="64"/>
      <c r="G7" s="64"/>
      <c r="H7" s="64"/>
      <c r="K7" s="43">
        <v>2014</v>
      </c>
    </row>
    <row r="8" spans="1:12" x14ac:dyDescent="0.3">
      <c r="A8" s="64"/>
      <c r="B8" s="64"/>
      <c r="C8" s="64"/>
      <c r="D8" s="64"/>
      <c r="E8" s="64"/>
      <c r="F8" s="64"/>
      <c r="G8" s="64"/>
      <c r="H8" s="64"/>
      <c r="K8" s="63">
        <v>2015</v>
      </c>
    </row>
    <row r="9" spans="1:12" x14ac:dyDescent="0.3">
      <c r="A9" s="64"/>
      <c r="B9" s="64"/>
      <c r="C9" s="64"/>
      <c r="D9" s="64"/>
      <c r="E9" s="64"/>
      <c r="F9" s="64"/>
      <c r="G9" s="64"/>
      <c r="H9" s="64"/>
      <c r="K9" s="43">
        <v>2016</v>
      </c>
    </row>
    <row r="10" spans="1:12" x14ac:dyDescent="0.3">
      <c r="A10" s="64"/>
      <c r="B10" s="64"/>
      <c r="C10" s="64"/>
      <c r="D10" s="64"/>
      <c r="E10" s="64"/>
      <c r="F10" s="64"/>
      <c r="G10" s="64"/>
      <c r="H10" s="64"/>
    </row>
    <row r="11" spans="1:12" x14ac:dyDescent="0.3">
      <c r="A11" s="64"/>
      <c r="B11" s="64"/>
      <c r="C11" s="64"/>
      <c r="D11" s="64"/>
      <c r="E11" s="64"/>
      <c r="F11" s="64"/>
      <c r="G11" s="64"/>
      <c r="H11" s="64"/>
    </row>
    <row r="12" spans="1:12" x14ac:dyDescent="0.3">
      <c r="A12" s="64"/>
      <c r="B12" s="64"/>
      <c r="C12" s="64"/>
      <c r="D12" s="64"/>
      <c r="E12" s="64"/>
      <c r="F12" s="64"/>
      <c r="G12" s="64"/>
      <c r="H12" s="64"/>
      <c r="K12" s="43">
        <f>CHOOSE(K5,IF(K5="Select state",2014,2014),2014,2015,2016)</f>
        <v>2014</v>
      </c>
    </row>
    <row r="13" spans="1:12" x14ac:dyDescent="0.3">
      <c r="A13" s="64"/>
      <c r="B13" s="64"/>
      <c r="C13" s="64"/>
      <c r="D13" s="64"/>
      <c r="E13" s="64"/>
      <c r="F13" s="64"/>
      <c r="G13" s="64"/>
      <c r="H13" s="64"/>
    </row>
    <row r="14" spans="1:12" x14ac:dyDescent="0.3">
      <c r="A14" s="64"/>
      <c r="B14" s="64"/>
      <c r="C14" s="64"/>
      <c r="D14" s="64"/>
      <c r="E14" s="64"/>
      <c r="F14" s="64"/>
      <c r="G14" s="64"/>
      <c r="H14" s="64"/>
    </row>
    <row r="15" spans="1:12" x14ac:dyDescent="0.3">
      <c r="A15" s="64"/>
      <c r="B15" s="64"/>
      <c r="C15" s="64"/>
      <c r="D15" s="64"/>
      <c r="E15" s="64"/>
      <c r="F15" s="64"/>
      <c r="G15" s="64"/>
      <c r="H15" s="64"/>
    </row>
    <row r="16" spans="1:12" x14ac:dyDescent="0.3">
      <c r="A16" s="64"/>
      <c r="B16" s="64"/>
      <c r="C16" s="64"/>
      <c r="D16" s="64"/>
      <c r="E16" s="64"/>
      <c r="F16" s="64"/>
      <c r="G16" s="64"/>
      <c r="H16" s="64"/>
      <c r="L16" s="43" t="s">
        <v>202</v>
      </c>
    </row>
    <row r="17" spans="1:12" x14ac:dyDescent="0.3">
      <c r="A17" s="64"/>
      <c r="B17" s="64"/>
      <c r="C17" s="64"/>
      <c r="D17" s="64"/>
      <c r="E17" s="64"/>
      <c r="F17" s="64"/>
      <c r="G17" s="64"/>
      <c r="H17" s="64"/>
      <c r="L17" s="43" t="s">
        <v>203</v>
      </c>
    </row>
    <row r="18" spans="1:12" x14ac:dyDescent="0.3">
      <c r="A18" s="64"/>
      <c r="B18" s="64"/>
      <c r="C18" s="64"/>
      <c r="D18" s="64"/>
      <c r="E18" s="64"/>
      <c r="F18" s="64"/>
      <c r="G18" s="64"/>
      <c r="H18" s="64"/>
      <c r="L18" s="43" t="s">
        <v>204</v>
      </c>
    </row>
    <row r="19" spans="1:12" x14ac:dyDescent="0.3">
      <c r="A19" s="64"/>
      <c r="B19" s="64"/>
      <c r="C19" s="64"/>
      <c r="D19" s="64"/>
      <c r="E19" s="64"/>
      <c r="F19" s="64"/>
      <c r="G19" s="64"/>
      <c r="H19" s="64"/>
    </row>
    <row r="20" spans="1:12" x14ac:dyDescent="0.3">
      <c r="A20" s="64"/>
      <c r="B20" s="64"/>
      <c r="C20" s="64"/>
      <c r="D20" s="64"/>
      <c r="E20" s="64"/>
      <c r="F20" s="64"/>
      <c r="G20" s="64"/>
      <c r="H20" s="64"/>
    </row>
    <row r="21" spans="1:12" x14ac:dyDescent="0.3">
      <c r="A21" s="64"/>
      <c r="B21" s="64"/>
      <c r="C21" s="64"/>
      <c r="D21" s="64"/>
      <c r="E21" s="64"/>
      <c r="F21" s="64"/>
      <c r="G21" s="64"/>
      <c r="H21" s="64"/>
    </row>
    <row r="22" spans="1:12" x14ac:dyDescent="0.3">
      <c r="A22" s="64"/>
      <c r="B22" s="64"/>
      <c r="C22" s="64"/>
      <c r="D22" s="64"/>
      <c r="E22" s="64"/>
      <c r="F22" s="64"/>
      <c r="G22" s="64"/>
      <c r="H22" s="64"/>
    </row>
    <row r="23" spans="1:12" x14ac:dyDescent="0.3">
      <c r="A23" s="64"/>
      <c r="B23" s="64"/>
      <c r="C23" s="64"/>
      <c r="D23" s="64"/>
      <c r="E23" s="64"/>
      <c r="F23" s="64"/>
      <c r="G23" s="64"/>
      <c r="H23" s="64"/>
    </row>
    <row r="24" spans="1:12" x14ac:dyDescent="0.3">
      <c r="A24" s="64"/>
      <c r="B24" s="64"/>
      <c r="C24" s="64"/>
      <c r="D24" s="64"/>
      <c r="E24" s="64"/>
      <c r="F24" s="64"/>
      <c r="G24" s="64"/>
      <c r="H24" s="64"/>
    </row>
    <row r="25" spans="1:12" ht="6.75" customHeight="1" x14ac:dyDescent="0.3">
      <c r="A25" s="64"/>
      <c r="B25" s="64"/>
      <c r="C25" s="64"/>
      <c r="D25" s="64"/>
      <c r="E25" s="64"/>
      <c r="F25" s="64"/>
      <c r="G25" s="64"/>
      <c r="H25" s="64"/>
    </row>
    <row r="26" spans="1:12" ht="20.25" customHeight="1" x14ac:dyDescent="0.3">
      <c r="A26" s="64"/>
      <c r="B26" s="69"/>
      <c r="C26" s="70" t="s">
        <v>196</v>
      </c>
      <c r="D26" s="71" t="str">
        <f ca="1">"Unemployment:"&amp;ROUND(index!Z2,0)</f>
        <v>Unemployment:47</v>
      </c>
      <c r="E26" s="69"/>
      <c r="F26" s="69"/>
      <c r="G26" s="64"/>
      <c r="H26" s="64"/>
    </row>
    <row r="27" spans="1:12" x14ac:dyDescent="0.3">
      <c r="A27" s="64"/>
      <c r="B27" s="64"/>
      <c r="C27" s="64"/>
      <c r="D27" s="64"/>
      <c r="E27" s="64"/>
      <c r="F27" s="64"/>
      <c r="G27" s="64"/>
      <c r="H27" s="64"/>
    </row>
    <row r="28" spans="1:12" x14ac:dyDescent="0.3">
      <c r="A28" s="64"/>
      <c r="B28" s="64"/>
      <c r="C28" s="64"/>
      <c r="D28" s="64"/>
      <c r="E28" s="64"/>
      <c r="F28" s="64"/>
      <c r="G28" s="64"/>
      <c r="H28" s="64"/>
    </row>
    <row r="29" spans="1:12" x14ac:dyDescent="0.3">
      <c r="A29" s="64"/>
      <c r="B29" s="64"/>
      <c r="C29" s="64"/>
      <c r="D29" s="64"/>
      <c r="E29" s="64"/>
      <c r="F29" s="64"/>
      <c r="G29" s="64"/>
      <c r="H29" s="64"/>
    </row>
    <row r="30" spans="1:12" x14ac:dyDescent="0.3">
      <c r="A30" s="64"/>
      <c r="B30" s="64"/>
      <c r="C30" s="64"/>
      <c r="D30" s="64"/>
      <c r="E30" s="64"/>
      <c r="F30" s="64"/>
      <c r="G30" s="64"/>
      <c r="H30" s="64"/>
    </row>
    <row r="31" spans="1:12" x14ac:dyDescent="0.3">
      <c r="A31" s="64"/>
      <c r="B31" s="64"/>
      <c r="C31" s="64"/>
      <c r="D31" s="64"/>
      <c r="E31" s="64"/>
      <c r="F31" s="64"/>
      <c r="G31" s="64"/>
      <c r="H31" s="64"/>
    </row>
    <row r="32" spans="1:12" x14ac:dyDescent="0.3">
      <c r="A32" s="64"/>
      <c r="B32" s="64"/>
      <c r="C32" s="64"/>
      <c r="D32" s="64"/>
      <c r="E32" s="64"/>
      <c r="F32" s="64"/>
      <c r="G32" s="64"/>
      <c r="H32" s="64"/>
    </row>
    <row r="33" spans="1:8" x14ac:dyDescent="0.3">
      <c r="A33" s="64"/>
      <c r="B33" s="64"/>
      <c r="C33" s="64"/>
      <c r="D33" s="64"/>
      <c r="E33" s="64"/>
      <c r="F33" s="64"/>
      <c r="G33" s="64"/>
      <c r="H33" s="64"/>
    </row>
    <row r="34" spans="1:8" x14ac:dyDescent="0.3">
      <c r="A34" s="64"/>
      <c r="B34" s="64"/>
      <c r="C34" s="64"/>
      <c r="D34" s="64"/>
      <c r="E34" s="64"/>
      <c r="F34" s="64"/>
      <c r="G34" s="64"/>
      <c r="H34" s="64"/>
    </row>
    <row r="35" spans="1:8" x14ac:dyDescent="0.3">
      <c r="A35" s="64"/>
      <c r="B35" s="64"/>
      <c r="C35" s="64"/>
      <c r="D35" s="64"/>
      <c r="E35" s="64"/>
      <c r="F35" s="64"/>
      <c r="G35" s="64"/>
      <c r="H35" s="64"/>
    </row>
    <row r="36" spans="1:8" x14ac:dyDescent="0.3">
      <c r="A36" s="64"/>
      <c r="B36" s="64"/>
      <c r="C36" s="64"/>
      <c r="D36" s="64"/>
      <c r="E36" s="64"/>
      <c r="F36" s="64"/>
      <c r="G36" s="64"/>
      <c r="H36" s="64"/>
    </row>
    <row r="37" spans="1:8" x14ac:dyDescent="0.3">
      <c r="A37" s="64"/>
      <c r="B37" s="73" t="s">
        <v>195</v>
      </c>
      <c r="C37" s="74"/>
      <c r="D37" s="74"/>
      <c r="E37" s="75" t="s">
        <v>197</v>
      </c>
      <c r="F37" s="74"/>
      <c r="G37" s="64"/>
      <c r="H37" s="64"/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097" r:id="rId4" name="ComboBox1">
          <controlPr defaultSize="0" autoLine="0" linkedCell="data1!D1" listFillRange="data1!BF1:BF3" r:id="rId5">
            <anchor moveWithCells="1">
              <from>
                <xdr:col>8</xdr:col>
                <xdr:colOff>114300</xdr:colOff>
                <xdr:row>6</xdr:row>
                <xdr:rowOff>106680</xdr:rowOff>
              </from>
              <to>
                <xdr:col>9</xdr:col>
                <xdr:colOff>259080</xdr:colOff>
                <xdr:row>7</xdr:row>
                <xdr:rowOff>160020</xdr:rowOff>
              </to>
            </anchor>
          </controlPr>
        </control>
      </mc:Choice>
      <mc:Fallback>
        <control shapeId="4097" r:id="rId4" name="ComboBox1"/>
      </mc:Fallback>
    </mc:AlternateContent>
    <mc:AlternateContent xmlns:mc="http://schemas.openxmlformats.org/markup-compatibility/2006">
      <mc:Choice Requires="x14">
        <control shapeId="4098" r:id="rId6" name="Check Box 2">
          <controlPr defaultSize="0" autoFill="0" autoLine="0" autoPict="0" macro="[0]!ThisWorkbook.enable_move">
            <anchor moveWithCells="1">
              <from>
                <xdr:col>2</xdr:col>
                <xdr:colOff>45720</xdr:colOff>
                <xdr:row>25</xdr:row>
                <xdr:rowOff>45720</xdr:rowOff>
              </from>
              <to>
                <xdr:col>2</xdr:col>
                <xdr:colOff>769620</xdr:colOff>
                <xdr:row>25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9" r:id="rId7" name="Check Box 3">
          <controlPr defaultSize="0" autoFill="0" autoLine="0" autoPict="0">
            <anchor moveWithCells="1">
              <from>
                <xdr:col>4</xdr:col>
                <xdr:colOff>807720</xdr:colOff>
                <xdr:row>25</xdr:row>
                <xdr:rowOff>38100</xdr:rowOff>
              </from>
              <to>
                <xdr:col>4</xdr:col>
                <xdr:colOff>1295400</xdr:colOff>
                <xdr:row>25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0" r:id="rId8" name="Check Box 4">
          <controlPr defaultSize="0" autoFill="0" autoLine="0" autoPict="0">
            <anchor moveWithCells="1">
              <from>
                <xdr:col>4</xdr:col>
                <xdr:colOff>1394460</xdr:colOff>
                <xdr:row>25</xdr:row>
                <xdr:rowOff>38100</xdr:rowOff>
              </from>
              <to>
                <xdr:col>5</xdr:col>
                <xdr:colOff>259080</xdr:colOff>
                <xdr:row>25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1" r:id="rId9" name="Check Box 5">
          <controlPr defaultSize="0" autoFill="0" autoLine="0" autoPict="0">
            <anchor moveWithCells="1">
              <from>
                <xdr:col>4</xdr:col>
                <xdr:colOff>228600</xdr:colOff>
                <xdr:row>25</xdr:row>
                <xdr:rowOff>38100</xdr:rowOff>
              </from>
              <to>
                <xdr:col>4</xdr:col>
                <xdr:colOff>716280</xdr:colOff>
                <xdr:row>25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2" r:id="rId10" name="Check Box 6">
          <controlPr defaultSize="0" autoFill="0" autoLine="0" autoPict="0" macro="[0]!ThisWorkbook.enable_move">
            <anchor moveWithCells="1">
              <from>
                <xdr:col>1</xdr:col>
                <xdr:colOff>38100</xdr:colOff>
                <xdr:row>25</xdr:row>
                <xdr:rowOff>45720</xdr:rowOff>
              </from>
              <to>
                <xdr:col>1</xdr:col>
                <xdr:colOff>762000</xdr:colOff>
                <xdr:row>25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4" r:id="rId11" name="Drop Down 8">
          <controlPr defaultSize="0" autoLine="0" autoPict="0">
            <anchor moveWithCells="1">
              <from>
                <xdr:col>4</xdr:col>
                <xdr:colOff>883920</xdr:colOff>
                <xdr:row>4</xdr:row>
                <xdr:rowOff>38100</xdr:rowOff>
              </from>
              <to>
                <xdr:col>5</xdr:col>
                <xdr:colOff>388620</xdr:colOff>
                <xdr:row>5</xdr:row>
                <xdr:rowOff>7620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E6197C7-476C-4719-8685-BD4E7A8D0D80}">
            <xm:f>C3=index!$J$3</xm:f>
            <x14:dxf>
              <font>
                <b/>
                <i val="0"/>
                <color theme="4"/>
              </font>
              <fill>
                <patternFill>
                  <bgColor rgb="FFA4BCC8"/>
                </patternFill>
              </fill>
              <border>
                <left style="thin">
                  <color rgb="FFFF0000"/>
                </left>
                <right style="thin">
                  <color rgb="FFFF0000"/>
                </right>
                <top style="thin">
                  <color rgb="FFFF0000"/>
                </top>
                <bottom style="thin">
                  <color rgb="FFA4BCC8"/>
                </bottom>
                <vertical/>
                <horizontal/>
              </border>
            </x14:dxf>
          </x14:cfRule>
          <xm:sqref>C3:E3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D157"/>
  <sheetViews>
    <sheetView zoomScale="85" zoomScaleNormal="85" workbookViewId="0">
      <pane ySplit="1" topLeftCell="A131" activePane="bottomLeft" state="frozen"/>
      <selection pane="bottomLeft" activeCell="G9" sqref="G9"/>
    </sheetView>
  </sheetViews>
  <sheetFormatPr defaultRowHeight="14.4" x14ac:dyDescent="0.3"/>
  <cols>
    <col min="1" max="1" width="6.5546875" style="21" bestFit="1" customWidth="1"/>
    <col min="2" max="2" width="22.109375" bestFit="1" customWidth="1"/>
    <col min="3" max="3" width="7" bestFit="1" customWidth="1"/>
    <col min="4" max="4" width="15.109375" bestFit="1" customWidth="1"/>
    <col min="5" max="56" width="10.109375" customWidth="1"/>
  </cols>
  <sheetData>
    <row r="1" spans="1:56" ht="16.2" thickBot="1" x14ac:dyDescent="0.35">
      <c r="A1" s="22" t="s">
        <v>108</v>
      </c>
      <c r="B1" s="2" t="s">
        <v>109</v>
      </c>
      <c r="C1" s="2" t="s">
        <v>110</v>
      </c>
      <c r="D1" s="2" t="s">
        <v>111</v>
      </c>
      <c r="E1" s="2" t="s">
        <v>2</v>
      </c>
      <c r="F1" s="2" t="s">
        <v>4</v>
      </c>
      <c r="G1" s="2" t="s">
        <v>6</v>
      </c>
      <c r="H1" s="2" t="s">
        <v>8</v>
      </c>
      <c r="I1" s="2" t="s">
        <v>10</v>
      </c>
      <c r="J1" s="2" t="s">
        <v>12</v>
      </c>
      <c r="K1" s="2" t="s">
        <v>14</v>
      </c>
      <c r="L1" s="2" t="s">
        <v>16</v>
      </c>
      <c r="M1" s="2" t="s">
        <v>18</v>
      </c>
      <c r="N1" s="2" t="s">
        <v>20</v>
      </c>
      <c r="O1" s="2" t="s">
        <v>22</v>
      </c>
      <c r="P1" s="2" t="s">
        <v>24</v>
      </c>
      <c r="Q1" s="2" t="s">
        <v>26</v>
      </c>
      <c r="R1" s="2" t="s">
        <v>28</v>
      </c>
      <c r="S1" s="2" t="s">
        <v>30</v>
      </c>
      <c r="T1" s="2" t="s">
        <v>32</v>
      </c>
      <c r="U1" s="2" t="s">
        <v>34</v>
      </c>
      <c r="V1" s="2" t="s">
        <v>36</v>
      </c>
      <c r="W1" s="2" t="s">
        <v>38</v>
      </c>
      <c r="X1" s="2" t="s">
        <v>40</v>
      </c>
      <c r="Y1" s="2" t="s">
        <v>42</v>
      </c>
      <c r="Z1" s="2" t="s">
        <v>44</v>
      </c>
      <c r="AA1" s="2" t="s">
        <v>46</v>
      </c>
      <c r="AB1" s="2" t="s">
        <v>48</v>
      </c>
      <c r="AC1" s="2" t="s">
        <v>50</v>
      </c>
      <c r="AD1" s="2" t="s">
        <v>52</v>
      </c>
      <c r="AE1" s="2" t="s">
        <v>54</v>
      </c>
      <c r="AF1" s="2" t="s">
        <v>56</v>
      </c>
      <c r="AG1" s="2" t="s">
        <v>58</v>
      </c>
      <c r="AH1" s="2" t="s">
        <v>60</v>
      </c>
      <c r="AI1" s="2" t="s">
        <v>62</v>
      </c>
      <c r="AJ1" s="2" t="s">
        <v>64</v>
      </c>
      <c r="AK1" s="2" t="s">
        <v>66</v>
      </c>
      <c r="AL1" s="2" t="s">
        <v>68</v>
      </c>
      <c r="AM1" s="2" t="s">
        <v>70</v>
      </c>
      <c r="AN1" s="2" t="s">
        <v>72</v>
      </c>
      <c r="AO1" s="2" t="s">
        <v>74</v>
      </c>
      <c r="AP1" s="2" t="s">
        <v>76</v>
      </c>
      <c r="AQ1" s="2" t="s">
        <v>78</v>
      </c>
      <c r="AR1" s="2" t="s">
        <v>82</v>
      </c>
      <c r="AS1" s="2" t="s">
        <v>84</v>
      </c>
      <c r="AT1" s="2" t="s">
        <v>86</v>
      </c>
      <c r="AU1" s="2" t="s">
        <v>88</v>
      </c>
      <c r="AV1" s="2" t="s">
        <v>90</v>
      </c>
      <c r="AW1" s="2" t="s">
        <v>92</v>
      </c>
      <c r="AX1" s="2" t="s">
        <v>94</v>
      </c>
      <c r="AY1" s="2" t="s">
        <v>96</v>
      </c>
      <c r="AZ1" s="2" t="s">
        <v>98</v>
      </c>
      <c r="BA1" s="2" t="s">
        <v>100</v>
      </c>
      <c r="BB1" s="2" t="s">
        <v>102</v>
      </c>
      <c r="BC1" s="2" t="s">
        <v>104</v>
      </c>
      <c r="BD1" s="2" t="s">
        <v>80</v>
      </c>
    </row>
    <row r="2" spans="1:56" x14ac:dyDescent="0.3">
      <c r="A2" s="17">
        <v>2014</v>
      </c>
      <c r="B2" s="4" t="s">
        <v>2</v>
      </c>
      <c r="C2" s="4" t="str">
        <f t="shared" ref="C2:C33" si="0">VLOOKUP(B2,INEXES,2,0)</f>
        <v>AL</v>
      </c>
      <c r="D2" s="4" t="str">
        <f t="shared" ref="D2:D33" si="1">VLOOKUP(B2,INEXES,3,0)</f>
        <v>阿拉巴马州</v>
      </c>
      <c r="E2" s="13">
        <v>84.144656404086902</v>
      </c>
      <c r="F2" s="13">
        <v>79.567055965978653</v>
      </c>
      <c r="G2" s="13">
        <v>73.748728383238799</v>
      </c>
      <c r="H2" s="13">
        <v>28.116168815844912</v>
      </c>
      <c r="I2" s="13">
        <v>4.535711634184425</v>
      </c>
      <c r="J2" s="13">
        <v>61.557164030270869</v>
      </c>
      <c r="K2" s="13">
        <v>43.353776042434845</v>
      </c>
      <c r="L2" s="13">
        <v>34.338595243605262</v>
      </c>
      <c r="M2" s="13">
        <v>94.387712487963213</v>
      </c>
      <c r="N2" s="13">
        <v>90.02075827371587</v>
      </c>
      <c r="O2" s="13">
        <v>65.58031116285899</v>
      </c>
      <c r="P2" s="13">
        <v>15.600520743824497</v>
      </c>
      <c r="Q2" s="13">
        <v>27.792905637207266</v>
      </c>
      <c r="R2" s="13">
        <v>57.53491223024335</v>
      </c>
      <c r="S2" s="13">
        <v>58.46119846207656</v>
      </c>
      <c r="T2" s="13">
        <v>91.489925359775981</v>
      </c>
      <c r="U2" s="13">
        <v>6.125919614111563</v>
      </c>
      <c r="V2" s="13">
        <v>95.13728788938171</v>
      </c>
      <c r="W2" s="13">
        <v>22.832717504478072</v>
      </c>
      <c r="X2" s="13">
        <v>27.922326200188174</v>
      </c>
      <c r="Y2" s="13">
        <v>93.850582307884878</v>
      </c>
      <c r="Z2" s="13">
        <v>56.316767219269082</v>
      </c>
      <c r="AA2" s="13">
        <v>23.35059060504161</v>
      </c>
      <c r="AB2" s="13">
        <v>94.553028126961181</v>
      </c>
      <c r="AC2" s="13">
        <v>54.746910875219434</v>
      </c>
      <c r="AD2" s="13">
        <v>39.57978445302097</v>
      </c>
      <c r="AE2" s="13">
        <v>58.438543687085399</v>
      </c>
      <c r="AF2" s="13">
        <v>2.3706009071946754</v>
      </c>
      <c r="AG2" s="13">
        <v>34.624019914476321</v>
      </c>
      <c r="AH2" s="13">
        <v>79.231870497495564</v>
      </c>
      <c r="AI2" s="13">
        <v>28.819367018845565</v>
      </c>
      <c r="AJ2" s="13">
        <v>93.631630705765971</v>
      </c>
      <c r="AK2" s="13">
        <v>5.9169650316352236</v>
      </c>
      <c r="AL2" s="13">
        <v>98.570225196373642</v>
      </c>
      <c r="AM2" s="13">
        <v>11.023691564414694</v>
      </c>
      <c r="AN2" s="13">
        <v>6.410040973657738</v>
      </c>
      <c r="AO2" s="13">
        <v>67.340788178971806</v>
      </c>
      <c r="AP2" s="13">
        <v>80.502233240355977</v>
      </c>
      <c r="AQ2" s="13">
        <v>49.912092678635311</v>
      </c>
      <c r="AR2" s="13">
        <v>16.953678075200774</v>
      </c>
      <c r="AS2" s="13">
        <v>41.124502781328509</v>
      </c>
      <c r="AT2" s="13">
        <v>50.586562663415613</v>
      </c>
      <c r="AU2" s="13">
        <v>27.643934645782842</v>
      </c>
      <c r="AV2" s="13">
        <v>98.512092326270547</v>
      </c>
      <c r="AW2" s="13">
        <v>95.433495566905947</v>
      </c>
      <c r="AX2" s="13">
        <v>45.574852263385743</v>
      </c>
      <c r="AY2" s="13">
        <v>52.481038009857393</v>
      </c>
      <c r="AZ2" s="13">
        <v>38.391601116214616</v>
      </c>
      <c r="BA2" s="13">
        <v>13.854277599198772</v>
      </c>
      <c r="BB2" s="13">
        <v>43.234791146218242</v>
      </c>
      <c r="BC2" s="13">
        <v>89.733597391075705</v>
      </c>
      <c r="BD2" s="13">
        <v>74.246224876992926</v>
      </c>
    </row>
    <row r="3" spans="1:56" x14ac:dyDescent="0.3">
      <c r="A3" s="18">
        <v>2014</v>
      </c>
      <c r="B3" s="6" t="s">
        <v>4</v>
      </c>
      <c r="C3" s="6" t="str">
        <f t="shared" si="0"/>
        <v>AK</v>
      </c>
      <c r="D3" s="6" t="str">
        <f t="shared" si="1"/>
        <v>阿拉斯加</v>
      </c>
      <c r="E3" s="14">
        <v>34.707623763505154</v>
      </c>
      <c r="F3" s="14">
        <v>86.828635759060518</v>
      </c>
      <c r="G3" s="14">
        <v>85.838669017985382</v>
      </c>
      <c r="H3" s="14">
        <v>49.27308091927295</v>
      </c>
      <c r="I3" s="14">
        <v>90.896155341930495</v>
      </c>
      <c r="J3" s="14">
        <v>82.816187788341978</v>
      </c>
      <c r="K3" s="14">
        <v>35.821776974739485</v>
      </c>
      <c r="L3" s="14">
        <v>95.523032931141003</v>
      </c>
      <c r="M3" s="14">
        <v>42.464141339017061</v>
      </c>
      <c r="N3" s="14">
        <v>50.786668449478555</v>
      </c>
      <c r="O3" s="14">
        <v>51.388045731177591</v>
      </c>
      <c r="P3" s="14">
        <v>3.0928759255184457</v>
      </c>
      <c r="Q3" s="14">
        <v>11.27461877272089</v>
      </c>
      <c r="R3" s="14">
        <v>41.779169361403511</v>
      </c>
      <c r="S3" s="14">
        <v>80.372863421959522</v>
      </c>
      <c r="T3" s="14">
        <v>64.327797151259276</v>
      </c>
      <c r="U3" s="14">
        <v>99.60590558736331</v>
      </c>
      <c r="V3" s="14">
        <v>11.906725862280465</v>
      </c>
      <c r="W3" s="14">
        <v>98.365610051234469</v>
      </c>
      <c r="X3" s="14">
        <v>90.686020933679146</v>
      </c>
      <c r="Y3" s="14">
        <v>82.779804428895417</v>
      </c>
      <c r="Z3" s="14">
        <v>24.578198466549985</v>
      </c>
      <c r="AA3" s="14">
        <v>59.132311237716763</v>
      </c>
      <c r="AB3" s="14">
        <v>31.233844411908862</v>
      </c>
      <c r="AC3" s="14">
        <v>94.120250157093068</v>
      </c>
      <c r="AD3" s="14">
        <v>89.284035930648329</v>
      </c>
      <c r="AE3" s="14">
        <v>67.584621846552267</v>
      </c>
      <c r="AF3" s="14">
        <v>28.936724357239097</v>
      </c>
      <c r="AG3" s="14">
        <v>11.519252710931827</v>
      </c>
      <c r="AH3" s="14">
        <v>94.442040593346405</v>
      </c>
      <c r="AI3" s="14">
        <v>54.677290034449179</v>
      </c>
      <c r="AJ3" s="14">
        <v>52.047117191897797</v>
      </c>
      <c r="AK3" s="14">
        <v>36.586934326725448</v>
      </c>
      <c r="AL3" s="14">
        <v>90.541932473172466</v>
      </c>
      <c r="AM3" s="14">
        <v>52.409842865537335</v>
      </c>
      <c r="AN3" s="14">
        <v>43.478199448354879</v>
      </c>
      <c r="AO3" s="14">
        <v>57.274828514750645</v>
      </c>
      <c r="AP3" s="14">
        <v>9.5695014147435522</v>
      </c>
      <c r="AQ3" s="14">
        <v>10.775637166490315</v>
      </c>
      <c r="AR3" s="14">
        <v>88.842965096850662</v>
      </c>
      <c r="AS3" s="14">
        <v>29.705922423528651</v>
      </c>
      <c r="AT3" s="14">
        <v>12.752531851414394</v>
      </c>
      <c r="AU3" s="14">
        <v>52.62618671349604</v>
      </c>
      <c r="AV3" s="14">
        <v>53.109312851030275</v>
      </c>
      <c r="AW3" s="14">
        <v>13.648812346902893</v>
      </c>
      <c r="AX3" s="14">
        <v>12.540295841133375</v>
      </c>
      <c r="AY3" s="14">
        <v>80.292769468815521</v>
      </c>
      <c r="AZ3" s="14">
        <v>28.778805886641969</v>
      </c>
      <c r="BA3" s="14">
        <v>32.474180591990788</v>
      </c>
      <c r="BB3" s="14">
        <v>40.504252296202246</v>
      </c>
      <c r="BC3" s="14">
        <v>27.150083261526547</v>
      </c>
      <c r="BD3" s="14">
        <v>22.452773889655276</v>
      </c>
    </row>
    <row r="4" spans="1:56" x14ac:dyDescent="0.3">
      <c r="A4" s="19">
        <v>2014</v>
      </c>
      <c r="B4" s="8" t="s">
        <v>6</v>
      </c>
      <c r="C4" s="8" t="str">
        <f t="shared" si="0"/>
        <v>AZ</v>
      </c>
      <c r="D4" s="8" t="str">
        <f t="shared" si="1"/>
        <v>亚利桑那州</v>
      </c>
      <c r="E4" s="15">
        <v>44.230296260059589</v>
      </c>
      <c r="F4" s="15">
        <v>30.129161955643504</v>
      </c>
      <c r="G4" s="15">
        <v>67.945132248776545</v>
      </c>
      <c r="H4" s="15">
        <v>18.395478851953552</v>
      </c>
      <c r="I4" s="15">
        <v>86.143129383352033</v>
      </c>
      <c r="J4" s="15">
        <v>20.827971696741965</v>
      </c>
      <c r="K4" s="15">
        <v>64.953973619339649</v>
      </c>
      <c r="L4" s="15">
        <v>70.695770808678688</v>
      </c>
      <c r="M4" s="15">
        <v>85.505826597459759</v>
      </c>
      <c r="N4" s="15">
        <v>61.920142763404449</v>
      </c>
      <c r="O4" s="15">
        <v>22.110420427669432</v>
      </c>
      <c r="P4" s="15">
        <v>97.199308324916117</v>
      </c>
      <c r="Q4" s="15">
        <v>36.574840900901663</v>
      </c>
      <c r="R4" s="15">
        <v>1.429823472088998</v>
      </c>
      <c r="S4" s="15">
        <v>48.683714047317359</v>
      </c>
      <c r="T4" s="15">
        <v>9.3946303996632849</v>
      </c>
      <c r="U4" s="15">
        <v>18.804041004344775</v>
      </c>
      <c r="V4" s="15">
        <v>76.054345590126275</v>
      </c>
      <c r="W4" s="15">
        <v>25.243196194630691</v>
      </c>
      <c r="X4" s="15">
        <v>17.751741322532844</v>
      </c>
      <c r="Y4" s="15">
        <v>95.28925646588408</v>
      </c>
      <c r="Z4" s="15">
        <v>77.967623775305299</v>
      </c>
      <c r="AA4" s="15">
        <v>52.036654883452449</v>
      </c>
      <c r="AB4" s="15">
        <v>31.902946320661897</v>
      </c>
      <c r="AC4" s="15">
        <v>39.650782762239892</v>
      </c>
      <c r="AD4" s="15">
        <v>6.1892538525790464</v>
      </c>
      <c r="AE4" s="15">
        <v>61.483436865070182</v>
      </c>
      <c r="AF4" s="15">
        <v>35.37805342700613</v>
      </c>
      <c r="AG4" s="15">
        <v>68.184535521589424</v>
      </c>
      <c r="AH4" s="15">
        <v>2.5127761234104984</v>
      </c>
      <c r="AI4" s="15">
        <v>21.812054712086415</v>
      </c>
      <c r="AJ4" s="15">
        <v>35.795214713244285</v>
      </c>
      <c r="AK4" s="15">
        <v>17.180990113958593</v>
      </c>
      <c r="AL4" s="15">
        <v>92.612205438742308</v>
      </c>
      <c r="AM4" s="15">
        <v>53.506006021082165</v>
      </c>
      <c r="AN4" s="15">
        <v>95.274932226334997</v>
      </c>
      <c r="AO4" s="15">
        <v>97.369352775535248</v>
      </c>
      <c r="AP4" s="15">
        <v>16.275500975099899</v>
      </c>
      <c r="AQ4" s="15">
        <v>70.778326460241033</v>
      </c>
      <c r="AR4" s="15">
        <v>94.651381550602991</v>
      </c>
      <c r="AS4" s="15">
        <v>19.566299821423893</v>
      </c>
      <c r="AT4" s="15">
        <v>50.448456631544005</v>
      </c>
      <c r="AU4" s="15">
        <v>92.487284233068578</v>
      </c>
      <c r="AV4" s="15">
        <v>65.219035497816662</v>
      </c>
      <c r="AW4" s="15">
        <v>58.231310058340938</v>
      </c>
      <c r="AX4" s="15">
        <v>49.858204460879172</v>
      </c>
      <c r="AY4" s="15">
        <v>15.918319790177692</v>
      </c>
      <c r="AZ4" s="15">
        <v>93.51398313961532</v>
      </c>
      <c r="BA4" s="15">
        <v>19.906515383610557</v>
      </c>
      <c r="BB4" s="15">
        <v>23.576098125067212</v>
      </c>
      <c r="BC4" s="15">
        <v>70.827344821656524</v>
      </c>
      <c r="BD4" s="15">
        <v>83.81390161443683</v>
      </c>
    </row>
    <row r="5" spans="1:56" x14ac:dyDescent="0.3">
      <c r="A5" s="18">
        <v>2014</v>
      </c>
      <c r="B5" s="6" t="s">
        <v>8</v>
      </c>
      <c r="C5" s="6" t="str">
        <f t="shared" si="0"/>
        <v>AR</v>
      </c>
      <c r="D5" s="6" t="str">
        <f t="shared" si="1"/>
        <v>阿肯色州</v>
      </c>
      <c r="E5" s="14">
        <v>38.250541784015205</v>
      </c>
      <c r="F5" s="14">
        <v>99.627827034515263</v>
      </c>
      <c r="G5" s="14">
        <v>40.156759071607532</v>
      </c>
      <c r="H5" s="14">
        <v>99.955049139490981</v>
      </c>
      <c r="I5" s="14">
        <v>82.60957257951894</v>
      </c>
      <c r="J5" s="14">
        <v>67.872753806831327</v>
      </c>
      <c r="K5" s="14">
        <v>97.253859074654869</v>
      </c>
      <c r="L5" s="14">
        <v>44.175169354055512</v>
      </c>
      <c r="M5" s="14">
        <v>85.941513185647537</v>
      </c>
      <c r="N5" s="14">
        <v>35.645980379461442</v>
      </c>
      <c r="O5" s="14">
        <v>50.952816354489073</v>
      </c>
      <c r="P5" s="14">
        <v>85.590495168356824</v>
      </c>
      <c r="Q5" s="14">
        <v>99.867024399875902</v>
      </c>
      <c r="R5" s="14">
        <v>29.153622272742552</v>
      </c>
      <c r="S5" s="14">
        <v>47.426824490282385</v>
      </c>
      <c r="T5" s="14">
        <v>76.065995811119961</v>
      </c>
      <c r="U5" s="14">
        <v>38.250650621694696</v>
      </c>
      <c r="V5" s="14">
        <v>45.387116803231805</v>
      </c>
      <c r="W5" s="14">
        <v>15.922303924956937</v>
      </c>
      <c r="X5" s="14">
        <v>12.63427360541961</v>
      </c>
      <c r="Y5" s="14">
        <v>48.863083151072942</v>
      </c>
      <c r="Z5" s="14">
        <v>5.2679929783419617</v>
      </c>
      <c r="AA5" s="14">
        <v>99.128838927255984</v>
      </c>
      <c r="AB5" s="14">
        <v>1.9619168014367361</v>
      </c>
      <c r="AC5" s="14">
        <v>94.117461440454036</v>
      </c>
      <c r="AD5" s="14">
        <v>37.157116196615561</v>
      </c>
      <c r="AE5" s="14">
        <v>52.863470063081195</v>
      </c>
      <c r="AF5" s="14">
        <v>42.068778242318963</v>
      </c>
      <c r="AG5" s="14">
        <v>15.848845400932355</v>
      </c>
      <c r="AH5" s="14">
        <v>68.693316418528923</v>
      </c>
      <c r="AI5" s="14">
        <v>80.479801921592696</v>
      </c>
      <c r="AJ5" s="14">
        <v>74.540349258248241</v>
      </c>
      <c r="AK5" s="14">
        <v>25.73515410477961</v>
      </c>
      <c r="AL5" s="14">
        <v>51.010376092805998</v>
      </c>
      <c r="AM5" s="14">
        <v>43.942574237060313</v>
      </c>
      <c r="AN5" s="14">
        <v>20.48174351848019</v>
      </c>
      <c r="AO5" s="14">
        <v>92.564589784450789</v>
      </c>
      <c r="AP5" s="14">
        <v>20.966990422706743</v>
      </c>
      <c r="AQ5" s="14">
        <v>41.136120657498168</v>
      </c>
      <c r="AR5" s="14">
        <v>41.254315466506952</v>
      </c>
      <c r="AS5" s="14">
        <v>10.269270410070064</v>
      </c>
      <c r="AT5" s="14">
        <v>15.28081371243638</v>
      </c>
      <c r="AU5" s="14">
        <v>61.316794789122433</v>
      </c>
      <c r="AV5" s="14">
        <v>2.0339786596086817</v>
      </c>
      <c r="AW5" s="14">
        <v>69.036291626301463</v>
      </c>
      <c r="AX5" s="14">
        <v>28.10192027661089</v>
      </c>
      <c r="AY5" s="14">
        <v>44.592470204015598</v>
      </c>
      <c r="AZ5" s="14">
        <v>42.007960595129049</v>
      </c>
      <c r="BA5" s="14">
        <v>57.238855652924727</v>
      </c>
      <c r="BB5" s="14">
        <v>50.943672855673661</v>
      </c>
      <c r="BC5" s="14">
        <v>79.060997915683231</v>
      </c>
      <c r="BD5" s="14">
        <v>53.357965745153592</v>
      </c>
    </row>
    <row r="6" spans="1:56" x14ac:dyDescent="0.3">
      <c r="A6" s="19">
        <v>2014</v>
      </c>
      <c r="B6" s="8" t="s">
        <v>10</v>
      </c>
      <c r="C6" s="8" t="str">
        <f t="shared" si="0"/>
        <v>CA</v>
      </c>
      <c r="D6" s="8" t="str">
        <f t="shared" si="1"/>
        <v>加州</v>
      </c>
      <c r="E6" s="15">
        <v>58.650679635389167</v>
      </c>
      <c r="F6" s="15">
        <v>60.157575669487038</v>
      </c>
      <c r="G6" s="15">
        <v>47.062823538397723</v>
      </c>
      <c r="H6" s="15">
        <v>96.373387188391391</v>
      </c>
      <c r="I6" s="15">
        <v>4.7682477098339948</v>
      </c>
      <c r="J6" s="15">
        <v>57.058139854499025</v>
      </c>
      <c r="K6" s="15">
        <v>38.076944460587193</v>
      </c>
      <c r="L6" s="15">
        <v>68.223091595744066</v>
      </c>
      <c r="M6" s="15">
        <v>22.406205492623688</v>
      </c>
      <c r="N6" s="15">
        <v>77.77742911171714</v>
      </c>
      <c r="O6" s="15">
        <v>82.491442072953049</v>
      </c>
      <c r="P6" s="15">
        <v>64.836797114404732</v>
      </c>
      <c r="Q6" s="15">
        <v>91.175793852040982</v>
      </c>
      <c r="R6" s="15">
        <v>36.885219332180917</v>
      </c>
      <c r="S6" s="15">
        <v>33.074542370737468</v>
      </c>
      <c r="T6" s="15">
        <v>81.933725147443752</v>
      </c>
      <c r="U6" s="15">
        <v>56.564377024063084</v>
      </c>
      <c r="V6" s="15">
        <v>17.033830584309261</v>
      </c>
      <c r="W6" s="15">
        <v>37.923091463463308</v>
      </c>
      <c r="X6" s="15">
        <v>86.562257272345406</v>
      </c>
      <c r="Y6" s="15">
        <v>87.367433426568951</v>
      </c>
      <c r="Z6" s="15">
        <v>66.58324247539592</v>
      </c>
      <c r="AA6" s="15">
        <v>49.193322934371011</v>
      </c>
      <c r="AB6" s="15">
        <v>0.13264948859909031</v>
      </c>
      <c r="AC6" s="15">
        <v>76.067374788732565</v>
      </c>
      <c r="AD6" s="15">
        <v>71.721489805544621</v>
      </c>
      <c r="AE6" s="15">
        <v>67.077218467601512</v>
      </c>
      <c r="AF6" s="15">
        <v>28.639624259111862</v>
      </c>
      <c r="AG6" s="15">
        <v>24.252370442888417</v>
      </c>
      <c r="AH6" s="15">
        <v>26.1261504869316</v>
      </c>
      <c r="AI6" s="15">
        <v>35.771800556402667</v>
      </c>
      <c r="AJ6" s="15">
        <v>96.302573363326005</v>
      </c>
      <c r="AK6" s="15">
        <v>18.667173003337755</v>
      </c>
      <c r="AL6" s="15">
        <v>9.9369543237393785</v>
      </c>
      <c r="AM6" s="15">
        <v>60.280026957074504</v>
      </c>
      <c r="AN6" s="15">
        <v>40.043576709773902</v>
      </c>
      <c r="AO6" s="15">
        <v>21.063434000305957</v>
      </c>
      <c r="AP6" s="15">
        <v>5.8379974299847088</v>
      </c>
      <c r="AQ6" s="15">
        <v>26.296816127843805</v>
      </c>
      <c r="AR6" s="15">
        <v>97.145737195597022</v>
      </c>
      <c r="AS6" s="15">
        <v>90.28465521821397</v>
      </c>
      <c r="AT6" s="15">
        <v>4.5910414409631839</v>
      </c>
      <c r="AU6" s="15">
        <v>77.545487792757456</v>
      </c>
      <c r="AV6" s="15">
        <v>15.056148981045547</v>
      </c>
      <c r="AW6" s="15">
        <v>18.866159700168307</v>
      </c>
      <c r="AX6" s="15">
        <v>87.003764438953667</v>
      </c>
      <c r="AY6" s="15">
        <v>22.157928069722487</v>
      </c>
      <c r="AZ6" s="15">
        <v>90.664138372115062</v>
      </c>
      <c r="BA6" s="15">
        <v>41.842938220697945</v>
      </c>
      <c r="BB6" s="15">
        <v>77.526236100072765</v>
      </c>
      <c r="BC6" s="15">
        <v>17.739826913664658</v>
      </c>
      <c r="BD6" s="15">
        <v>18.433292477309703</v>
      </c>
    </row>
    <row r="7" spans="1:56" x14ac:dyDescent="0.3">
      <c r="A7" s="18">
        <v>2014</v>
      </c>
      <c r="B7" s="6" t="s">
        <v>12</v>
      </c>
      <c r="C7" s="6" t="str">
        <f t="shared" si="0"/>
        <v>CO</v>
      </c>
      <c r="D7" s="6" t="str">
        <f t="shared" si="1"/>
        <v>科罗拉多州</v>
      </c>
      <c r="E7" s="14">
        <v>98.299852454411635</v>
      </c>
      <c r="F7" s="14">
        <v>45.802103276939356</v>
      </c>
      <c r="G7" s="14">
        <v>28.202843070677442</v>
      </c>
      <c r="H7" s="14">
        <v>1.2996808401784632</v>
      </c>
      <c r="I7" s="14">
        <v>55.20328259939464</v>
      </c>
      <c r="J7" s="14">
        <v>20.837569285311986</v>
      </c>
      <c r="K7" s="14">
        <v>36.43046306288803</v>
      </c>
      <c r="L7" s="14">
        <v>27.442286112166549</v>
      </c>
      <c r="M7" s="14">
        <v>7.7492840182632587</v>
      </c>
      <c r="N7" s="14">
        <v>33.739743199246334</v>
      </c>
      <c r="O7" s="14">
        <v>15.31898163336548</v>
      </c>
      <c r="P7" s="14">
        <v>53.817439576047775</v>
      </c>
      <c r="Q7" s="14">
        <v>95.003753868590437</v>
      </c>
      <c r="R7" s="14">
        <v>82.37207461425767</v>
      </c>
      <c r="S7" s="14">
        <v>45.632702359675811</v>
      </c>
      <c r="T7" s="14">
        <v>23.040967055844174</v>
      </c>
      <c r="U7" s="14">
        <v>45.089916323061431</v>
      </c>
      <c r="V7" s="14">
        <v>35.288840871333363</v>
      </c>
      <c r="W7" s="14">
        <v>83.250255292529658</v>
      </c>
      <c r="X7" s="14">
        <v>41.756253539915477</v>
      </c>
      <c r="Y7" s="14">
        <v>81.758928921971588</v>
      </c>
      <c r="Z7" s="14">
        <v>62.28600613557601</v>
      </c>
      <c r="AA7" s="14">
        <v>49.759278366497426</v>
      </c>
      <c r="AB7" s="14">
        <v>95.033802690258511</v>
      </c>
      <c r="AC7" s="14">
        <v>76.401050754750713</v>
      </c>
      <c r="AD7" s="14">
        <v>41.840834703667873</v>
      </c>
      <c r="AE7" s="14">
        <v>18.15602940814064</v>
      </c>
      <c r="AF7" s="14">
        <v>10.638617352567426</v>
      </c>
      <c r="AG7" s="14">
        <v>89.112963589447915</v>
      </c>
      <c r="AH7" s="14">
        <v>9.5733825568717901</v>
      </c>
      <c r="AI7" s="14">
        <v>87.657682894868159</v>
      </c>
      <c r="AJ7" s="14">
        <v>29.765569906584066</v>
      </c>
      <c r="AK7" s="14">
        <v>8.6866656207504214</v>
      </c>
      <c r="AL7" s="14">
        <v>40.260863101375868</v>
      </c>
      <c r="AM7" s="14">
        <v>0.42549277438803657</v>
      </c>
      <c r="AN7" s="14">
        <v>97.634677319923057</v>
      </c>
      <c r="AO7" s="14">
        <v>86.671477052594042</v>
      </c>
      <c r="AP7" s="14">
        <v>39.368969055918143</v>
      </c>
      <c r="AQ7" s="14">
        <v>80.772910544016057</v>
      </c>
      <c r="AR7" s="14">
        <v>50.982544949833652</v>
      </c>
      <c r="AS7" s="14">
        <v>53.322889338717403</v>
      </c>
      <c r="AT7" s="14">
        <v>35.556274473513419</v>
      </c>
      <c r="AU7" s="14">
        <v>58.510657818674837</v>
      </c>
      <c r="AV7" s="14">
        <v>21.564143882998053</v>
      </c>
      <c r="AW7" s="14">
        <v>79.372109204703364</v>
      </c>
      <c r="AX7" s="14">
        <v>36.843395129831855</v>
      </c>
      <c r="AY7" s="14">
        <v>70.466430318762207</v>
      </c>
      <c r="AZ7" s="14">
        <v>81.206801397984933</v>
      </c>
      <c r="BA7" s="14">
        <v>32.696936326322856</v>
      </c>
      <c r="BB7" s="14">
        <v>12.605684291303398</v>
      </c>
      <c r="BC7" s="14">
        <v>37.055803636385555</v>
      </c>
      <c r="BD7" s="14">
        <v>55.282341980944025</v>
      </c>
    </row>
    <row r="8" spans="1:56" x14ac:dyDescent="0.3">
      <c r="A8" s="19">
        <v>2014</v>
      </c>
      <c r="B8" s="8" t="s">
        <v>14</v>
      </c>
      <c r="C8" s="8" t="str">
        <f t="shared" si="0"/>
        <v>CT</v>
      </c>
      <c r="D8" s="8" t="str">
        <f t="shared" si="1"/>
        <v>康涅狄格</v>
      </c>
      <c r="E8" s="15">
        <v>51.479206520087708</v>
      </c>
      <c r="F8" s="15">
        <v>69.472932565202854</v>
      </c>
      <c r="G8" s="15">
        <v>81.968237727418767</v>
      </c>
      <c r="H8" s="15">
        <v>20.210535348854329</v>
      </c>
      <c r="I8" s="15">
        <v>3.2088230559018216</v>
      </c>
      <c r="J8" s="15">
        <v>19.246682087748468</v>
      </c>
      <c r="K8" s="15">
        <v>65.037571020588985</v>
      </c>
      <c r="L8" s="15">
        <v>5.1200105031763083</v>
      </c>
      <c r="M8" s="15">
        <v>35.961904289500445</v>
      </c>
      <c r="N8" s="15">
        <v>40.518296631884084</v>
      </c>
      <c r="O8" s="15">
        <v>18.357809570268678</v>
      </c>
      <c r="P8" s="15">
        <v>98.109881581859412</v>
      </c>
      <c r="Q8" s="15">
        <v>39.518211624086142</v>
      </c>
      <c r="R8" s="15">
        <v>95.443722201308731</v>
      </c>
      <c r="S8" s="15">
        <v>11.694380727807829</v>
      </c>
      <c r="T8" s="15">
        <v>28.228963205966341</v>
      </c>
      <c r="U8" s="15">
        <v>77.463334981644962</v>
      </c>
      <c r="V8" s="15">
        <v>88.196753727861392</v>
      </c>
      <c r="W8" s="15">
        <v>47.607957855849335</v>
      </c>
      <c r="X8" s="15">
        <v>61.760041402303855</v>
      </c>
      <c r="Y8" s="15">
        <v>55.471908918457679</v>
      </c>
      <c r="Z8" s="15">
        <v>60.435795727044372</v>
      </c>
      <c r="AA8" s="15">
        <v>42.032430041191581</v>
      </c>
      <c r="AB8" s="15">
        <v>78.553415728897363</v>
      </c>
      <c r="AC8" s="15">
        <v>97.163335154322709</v>
      </c>
      <c r="AD8" s="15">
        <v>39.151089349396308</v>
      </c>
      <c r="AE8" s="15">
        <v>33.519451820044722</v>
      </c>
      <c r="AF8" s="15">
        <v>75.645051439108798</v>
      </c>
      <c r="AG8" s="15">
        <v>90.587141604604128</v>
      </c>
      <c r="AH8" s="15">
        <v>39.409013116856705</v>
      </c>
      <c r="AI8" s="15">
        <v>7.5227857663980551</v>
      </c>
      <c r="AJ8" s="15">
        <v>83.860199361853248</v>
      </c>
      <c r="AK8" s="15">
        <v>47.026634156559034</v>
      </c>
      <c r="AL8" s="15">
        <v>56.959384337073161</v>
      </c>
      <c r="AM8" s="15">
        <v>52.061140695139215</v>
      </c>
      <c r="AN8" s="15">
        <v>74.509505482782927</v>
      </c>
      <c r="AO8" s="15">
        <v>49.121866200923733</v>
      </c>
      <c r="AP8" s="15">
        <v>15.204971879262796</v>
      </c>
      <c r="AQ8" s="15">
        <v>51.918045152069446</v>
      </c>
      <c r="AR8" s="15">
        <v>80.782137633007792</v>
      </c>
      <c r="AS8" s="15">
        <v>2.2544208941100763</v>
      </c>
      <c r="AT8" s="15">
        <v>19.149323298770859</v>
      </c>
      <c r="AU8" s="15">
        <v>35.5814459561863</v>
      </c>
      <c r="AV8" s="15">
        <v>11.834780455719097</v>
      </c>
      <c r="AW8" s="15">
        <v>93.208901615154033</v>
      </c>
      <c r="AX8" s="15">
        <v>95.363415998778706</v>
      </c>
      <c r="AY8" s="15">
        <v>14.277278217822008</v>
      </c>
      <c r="AZ8" s="15">
        <v>85.854053453736469</v>
      </c>
      <c r="BA8" s="15">
        <v>55.314167630175312</v>
      </c>
      <c r="BB8" s="15">
        <v>66.768144558317843</v>
      </c>
      <c r="BC8" s="15">
        <v>27.630376730152683</v>
      </c>
      <c r="BD8" s="15">
        <v>56.090658277667615</v>
      </c>
    </row>
    <row r="9" spans="1:56" x14ac:dyDescent="0.3">
      <c r="A9" s="18">
        <v>2014</v>
      </c>
      <c r="B9" s="6" t="s">
        <v>16</v>
      </c>
      <c r="C9" s="6" t="str">
        <f t="shared" si="0"/>
        <v>DE</v>
      </c>
      <c r="D9" s="6" t="str">
        <f t="shared" si="1"/>
        <v>特拉华州</v>
      </c>
      <c r="E9" s="14">
        <v>55.197857674486229</v>
      </c>
      <c r="F9" s="14">
        <v>68.467445726147076</v>
      </c>
      <c r="G9" s="14">
        <v>57.037035943895134</v>
      </c>
      <c r="H9" s="14">
        <v>31.24333670079038</v>
      </c>
      <c r="I9" s="14">
        <v>76.401930008407305</v>
      </c>
      <c r="J9" s="14">
        <v>70.701228506253912</v>
      </c>
      <c r="K9" s="14">
        <v>0.28466631970864853</v>
      </c>
      <c r="L9" s="14">
        <v>70.103862734291326</v>
      </c>
      <c r="M9" s="14">
        <v>87.296474036916209</v>
      </c>
      <c r="N9" s="14">
        <v>13.069473776837004</v>
      </c>
      <c r="O9" s="14">
        <v>85.053943985152259</v>
      </c>
      <c r="P9" s="14">
        <v>55.200079484892107</v>
      </c>
      <c r="Q9" s="14">
        <v>52.816276067192334</v>
      </c>
      <c r="R9" s="14">
        <v>74.360402034962576</v>
      </c>
      <c r="S9" s="14">
        <v>9.4031549299773864</v>
      </c>
      <c r="T9" s="14">
        <v>71.758887264723867</v>
      </c>
      <c r="U9" s="14">
        <v>0.83201021225712823</v>
      </c>
      <c r="V9" s="14">
        <v>43.089824052683198</v>
      </c>
      <c r="W9" s="14">
        <v>13.6885143301275</v>
      </c>
      <c r="X9" s="14">
        <v>52.663285145154468</v>
      </c>
      <c r="Y9" s="14">
        <v>94.686812664750548</v>
      </c>
      <c r="Z9" s="14">
        <v>97.212683687695844</v>
      </c>
      <c r="AA9" s="14">
        <v>51.751435820605806</v>
      </c>
      <c r="AB9" s="14">
        <v>46.941452281347061</v>
      </c>
      <c r="AC9" s="14">
        <v>50.43523850085753</v>
      </c>
      <c r="AD9" s="14">
        <v>75.272508898729626</v>
      </c>
      <c r="AE9" s="14">
        <v>32.873876800690269</v>
      </c>
      <c r="AF9" s="14">
        <v>26.190201748129361</v>
      </c>
      <c r="AG9" s="14">
        <v>26.438999379907457</v>
      </c>
      <c r="AH9" s="14">
        <v>23.615091153440993</v>
      </c>
      <c r="AI9" s="14">
        <v>80.401478687942273</v>
      </c>
      <c r="AJ9" s="14">
        <v>66.177354901386991</v>
      </c>
      <c r="AK9" s="14">
        <v>33.668106654947053</v>
      </c>
      <c r="AL9" s="14">
        <v>57.961134731468611</v>
      </c>
      <c r="AM9" s="14">
        <v>46.650712199353961</v>
      </c>
      <c r="AN9" s="14">
        <v>34.96714959235949</v>
      </c>
      <c r="AO9" s="14">
        <v>87.466279491858216</v>
      </c>
      <c r="AP9" s="14">
        <v>28.550555210942218</v>
      </c>
      <c r="AQ9" s="14">
        <v>21.532645617987743</v>
      </c>
      <c r="AR9" s="14">
        <v>95.472566545211805</v>
      </c>
      <c r="AS9" s="14">
        <v>5.5264577040413325</v>
      </c>
      <c r="AT9" s="14">
        <v>48.27781726302716</v>
      </c>
      <c r="AU9" s="14">
        <v>3.9780755056612271</v>
      </c>
      <c r="AV9" s="14">
        <v>21.724845564533034</v>
      </c>
      <c r="AW9" s="14">
        <v>30.979709813761357</v>
      </c>
      <c r="AX9" s="14">
        <v>72.9524728899992</v>
      </c>
      <c r="AY9" s="14">
        <v>49.10760130212298</v>
      </c>
      <c r="AZ9" s="14">
        <v>97.423165245080355</v>
      </c>
      <c r="BA9" s="14">
        <v>50.283980625972134</v>
      </c>
      <c r="BB9" s="14">
        <v>71.178683451133622</v>
      </c>
      <c r="BC9" s="14">
        <v>44.414513576771583</v>
      </c>
      <c r="BD9" s="14">
        <v>35.750724811771263</v>
      </c>
    </row>
    <row r="10" spans="1:56" x14ac:dyDescent="0.3">
      <c r="A10" s="19">
        <v>2014</v>
      </c>
      <c r="B10" s="8" t="s">
        <v>18</v>
      </c>
      <c r="C10" s="8" t="str">
        <f t="shared" si="0"/>
        <v>DC</v>
      </c>
      <c r="D10" s="8" t="str">
        <f t="shared" si="1"/>
        <v>哥伦比亚特区</v>
      </c>
      <c r="E10" s="15">
        <v>87.467537006975675</v>
      </c>
      <c r="F10" s="15">
        <v>45.114959508198005</v>
      </c>
      <c r="G10" s="15">
        <v>25.449644820290494</v>
      </c>
      <c r="H10" s="15">
        <v>53.728009619367675</v>
      </c>
      <c r="I10" s="15">
        <v>17.916351542200605</v>
      </c>
      <c r="J10" s="15">
        <v>53.030566831259797</v>
      </c>
      <c r="K10" s="15">
        <v>18.698473784729387</v>
      </c>
      <c r="L10" s="15">
        <v>39.081475120976847</v>
      </c>
      <c r="M10" s="15">
        <v>50.205696695832849</v>
      </c>
      <c r="N10" s="15">
        <v>26.421252488531344</v>
      </c>
      <c r="O10" s="15">
        <v>82.248539874692312</v>
      </c>
      <c r="P10" s="15">
        <v>73.789610900704929</v>
      </c>
      <c r="Q10" s="15">
        <v>28.224469148737985</v>
      </c>
      <c r="R10" s="15">
        <v>57.008632986144903</v>
      </c>
      <c r="S10" s="15">
        <v>48.899686672243028</v>
      </c>
      <c r="T10" s="15">
        <v>89.662640635147753</v>
      </c>
      <c r="U10" s="15">
        <v>63.54858443628784</v>
      </c>
      <c r="V10" s="15">
        <v>46.270703449065479</v>
      </c>
      <c r="W10" s="15">
        <v>60.331065052415966</v>
      </c>
      <c r="X10" s="15">
        <v>47.313146108132329</v>
      </c>
      <c r="Y10" s="15">
        <v>36.110889056976283</v>
      </c>
      <c r="Z10" s="15">
        <v>66.090562436232148</v>
      </c>
      <c r="AA10" s="15">
        <v>7.5616700697131218</v>
      </c>
      <c r="AB10" s="15">
        <v>96.832212855614515</v>
      </c>
      <c r="AC10" s="15">
        <v>5.0952113803032217</v>
      </c>
      <c r="AD10" s="15">
        <v>63.536720504672026</v>
      </c>
      <c r="AE10" s="15">
        <v>85.581170778527678</v>
      </c>
      <c r="AF10" s="15">
        <v>21.438309550752109</v>
      </c>
      <c r="AG10" s="15">
        <v>26.316088536516602</v>
      </c>
      <c r="AH10" s="15">
        <v>17.292660147597228</v>
      </c>
      <c r="AI10" s="15">
        <v>87.737173374698756</v>
      </c>
      <c r="AJ10" s="15">
        <v>50.663310066167647</v>
      </c>
      <c r="AK10" s="15">
        <v>77.539973148926862</v>
      </c>
      <c r="AL10" s="15">
        <v>78.983313004638745</v>
      </c>
      <c r="AM10" s="15">
        <v>38.462941722785324</v>
      </c>
      <c r="AN10" s="15">
        <v>73.540535926740361</v>
      </c>
      <c r="AO10" s="15">
        <v>14.093081016264975</v>
      </c>
      <c r="AP10" s="15">
        <v>84.737607611337879</v>
      </c>
      <c r="AQ10" s="15">
        <v>25.902180478422878</v>
      </c>
      <c r="AR10" s="15">
        <v>52.1230982772422</v>
      </c>
      <c r="AS10" s="15">
        <v>62.594506245147571</v>
      </c>
      <c r="AT10" s="15">
        <v>97.143411855081908</v>
      </c>
      <c r="AU10" s="15">
        <v>5.0653829927118421</v>
      </c>
      <c r="AV10" s="15">
        <v>18.356872603226147</v>
      </c>
      <c r="AW10" s="15">
        <v>10.694781220568094</v>
      </c>
      <c r="AX10" s="15">
        <v>20.397103339763454</v>
      </c>
      <c r="AY10" s="15">
        <v>64.52696768864395</v>
      </c>
      <c r="AZ10" s="15">
        <v>12.182220361142726</v>
      </c>
      <c r="BA10" s="15">
        <v>56.827978182422136</v>
      </c>
      <c r="BB10" s="15">
        <v>94.462559118469102</v>
      </c>
      <c r="BC10" s="15">
        <v>14.98565655193147</v>
      </c>
      <c r="BD10" s="15">
        <v>13.843424522863234</v>
      </c>
    </row>
    <row r="11" spans="1:56" x14ac:dyDescent="0.3">
      <c r="A11" s="18">
        <v>2014</v>
      </c>
      <c r="B11" s="6" t="s">
        <v>20</v>
      </c>
      <c r="C11" s="6" t="str">
        <f t="shared" si="0"/>
        <v>FL</v>
      </c>
      <c r="D11" s="6" t="str">
        <f t="shared" si="1"/>
        <v>佛罗里达</v>
      </c>
      <c r="E11" s="14">
        <v>35.608645125050806</v>
      </c>
      <c r="F11" s="14">
        <v>12.659974802491858</v>
      </c>
      <c r="G11" s="14">
        <v>26.017975067353294</v>
      </c>
      <c r="H11" s="14">
        <v>72.465983565968941</v>
      </c>
      <c r="I11" s="14">
        <v>84.908789645009307</v>
      </c>
      <c r="J11" s="14">
        <v>69.635166551695704</v>
      </c>
      <c r="K11" s="14">
        <v>43.299517045086212</v>
      </c>
      <c r="L11" s="14">
        <v>28.021424342487812</v>
      </c>
      <c r="M11" s="14">
        <v>20.948334625067854</v>
      </c>
      <c r="N11" s="14">
        <v>56.427764938151356</v>
      </c>
      <c r="O11" s="14">
        <v>77.063635815584632</v>
      </c>
      <c r="P11" s="14">
        <v>6.8817712600166665</v>
      </c>
      <c r="Q11" s="14">
        <v>7.8418582516651458</v>
      </c>
      <c r="R11" s="14">
        <v>90.70045133791821</v>
      </c>
      <c r="S11" s="14">
        <v>54.685559488592894</v>
      </c>
      <c r="T11" s="14">
        <v>90.647150610938425</v>
      </c>
      <c r="U11" s="14">
        <v>41.715880696672748</v>
      </c>
      <c r="V11" s="14">
        <v>5.237016656340387</v>
      </c>
      <c r="W11" s="14">
        <v>2.9680507521779309</v>
      </c>
      <c r="X11" s="14">
        <v>49.135672904782879</v>
      </c>
      <c r="Y11" s="14">
        <v>60.943956174573756</v>
      </c>
      <c r="Z11" s="14">
        <v>4.238140300187232</v>
      </c>
      <c r="AA11" s="14">
        <v>97.183813228974273</v>
      </c>
      <c r="AB11" s="14">
        <v>1.2260451647384762</v>
      </c>
      <c r="AC11" s="14">
        <v>0.80477906063974869</v>
      </c>
      <c r="AD11" s="14">
        <v>41.019303777733555</v>
      </c>
      <c r="AE11" s="14">
        <v>41.605459132284516</v>
      </c>
      <c r="AF11" s="14">
        <v>98.609859564650463</v>
      </c>
      <c r="AG11" s="14">
        <v>57.28247108986384</v>
      </c>
      <c r="AH11" s="14">
        <v>15.566498737395806</v>
      </c>
      <c r="AI11" s="14">
        <v>57.517333859882548</v>
      </c>
      <c r="AJ11" s="14">
        <v>82.355668529863379</v>
      </c>
      <c r="AK11" s="14">
        <v>99.548472363976998</v>
      </c>
      <c r="AL11" s="14">
        <v>61.404817596242175</v>
      </c>
      <c r="AM11" s="14">
        <v>51.7969704622367</v>
      </c>
      <c r="AN11" s="14">
        <v>35.305441105627843</v>
      </c>
      <c r="AO11" s="14">
        <v>77.470160652863512</v>
      </c>
      <c r="AP11" s="14">
        <v>46.975645118182875</v>
      </c>
      <c r="AQ11" s="14">
        <v>66.989663956816187</v>
      </c>
      <c r="AR11" s="14">
        <v>52.724809233091364</v>
      </c>
      <c r="AS11" s="14">
        <v>45.54838223962706</v>
      </c>
      <c r="AT11" s="14">
        <v>50.888942360102384</v>
      </c>
      <c r="AU11" s="14">
        <v>27.602793904844237</v>
      </c>
      <c r="AV11" s="14">
        <v>93.549686019611883</v>
      </c>
      <c r="AW11" s="14">
        <v>79.418563699941913</v>
      </c>
      <c r="AX11" s="14">
        <v>81.821333186375796</v>
      </c>
      <c r="AY11" s="14">
        <v>11.313423198348914</v>
      </c>
      <c r="AZ11" s="14">
        <v>46.676275652788611</v>
      </c>
      <c r="BA11" s="14">
        <v>33.218599205149168</v>
      </c>
      <c r="BB11" s="14">
        <v>30.047317054779597</v>
      </c>
      <c r="BC11" s="14">
        <v>58.827427829799952</v>
      </c>
      <c r="BD11" s="14">
        <v>69.765502076992234</v>
      </c>
    </row>
    <row r="12" spans="1:56" x14ac:dyDescent="0.3">
      <c r="A12" s="19">
        <v>2014</v>
      </c>
      <c r="B12" s="8" t="s">
        <v>22</v>
      </c>
      <c r="C12" s="8" t="str">
        <f t="shared" si="0"/>
        <v>GA</v>
      </c>
      <c r="D12" s="8" t="str">
        <f t="shared" si="1"/>
        <v>乔治亚州</v>
      </c>
      <c r="E12" s="15">
        <v>8.8282723073149771</v>
      </c>
      <c r="F12" s="15">
        <v>91.859275017792854</v>
      </c>
      <c r="G12" s="15">
        <v>82.916189991809603</v>
      </c>
      <c r="H12" s="15">
        <v>41.023028276548246</v>
      </c>
      <c r="I12" s="15">
        <v>52.250371078816308</v>
      </c>
      <c r="J12" s="15">
        <v>12.457301326201353</v>
      </c>
      <c r="K12" s="15">
        <v>72.009941965521008</v>
      </c>
      <c r="L12" s="15">
        <v>65.985489992964901</v>
      </c>
      <c r="M12" s="15">
        <v>40.600200745490021</v>
      </c>
      <c r="N12" s="15">
        <v>47.306847500379199</v>
      </c>
      <c r="O12" s="15">
        <v>96.027056441245094</v>
      </c>
      <c r="P12" s="15">
        <v>76.797267776067358</v>
      </c>
      <c r="Q12" s="15">
        <v>37.203408201064327</v>
      </c>
      <c r="R12" s="15">
        <v>39.697425187551204</v>
      </c>
      <c r="S12" s="15">
        <v>72.811238842737666</v>
      </c>
      <c r="T12" s="15">
        <v>33.386671008966971</v>
      </c>
      <c r="U12" s="15">
        <v>56.122592005933726</v>
      </c>
      <c r="V12" s="15">
        <v>27.220586910792189</v>
      </c>
      <c r="W12" s="15">
        <v>79.562145165954661</v>
      </c>
      <c r="X12" s="15">
        <v>40.113058063884743</v>
      </c>
      <c r="Y12" s="15">
        <v>19.454335281611058</v>
      </c>
      <c r="Z12" s="15">
        <v>2.8630612089609486</v>
      </c>
      <c r="AA12" s="15">
        <v>48.939725374315778</v>
      </c>
      <c r="AB12" s="15">
        <v>7.430467020726117</v>
      </c>
      <c r="AC12" s="15">
        <v>9.9432683386603387</v>
      </c>
      <c r="AD12" s="15">
        <v>71.697748235566365</v>
      </c>
      <c r="AE12" s="15">
        <v>52.032594753359909</v>
      </c>
      <c r="AF12" s="15">
        <v>94.767694653474891</v>
      </c>
      <c r="AG12" s="15">
        <v>64.538905917265538</v>
      </c>
      <c r="AH12" s="15">
        <v>89.90350439904023</v>
      </c>
      <c r="AI12" s="15">
        <v>71.138122269956099</v>
      </c>
      <c r="AJ12" s="15">
        <v>74.34744770848333</v>
      </c>
      <c r="AK12" s="15">
        <v>51.253033828406856</v>
      </c>
      <c r="AL12" s="15">
        <v>64.734881727288041</v>
      </c>
      <c r="AM12" s="15">
        <v>91.956393073908131</v>
      </c>
      <c r="AN12" s="15">
        <v>14.613767537993972</v>
      </c>
      <c r="AO12" s="15">
        <v>69.151344662111427</v>
      </c>
      <c r="AP12" s="15">
        <v>32.2684388908378</v>
      </c>
      <c r="AQ12" s="15">
        <v>35.503222583498427</v>
      </c>
      <c r="AR12" s="15">
        <v>85.097881433998324</v>
      </c>
      <c r="AS12" s="15">
        <v>59.561381257787524</v>
      </c>
      <c r="AT12" s="15">
        <v>91.050522630497738</v>
      </c>
      <c r="AU12" s="15">
        <v>42.337513438959306</v>
      </c>
      <c r="AV12" s="15">
        <v>9.1002941570207057</v>
      </c>
      <c r="AW12" s="15">
        <v>34.793072281917844</v>
      </c>
      <c r="AX12" s="15">
        <v>74.653692317071119</v>
      </c>
      <c r="AY12" s="15">
        <v>79.612886400114306</v>
      </c>
      <c r="AZ12" s="15">
        <v>72.09123213928595</v>
      </c>
      <c r="BA12" s="15">
        <v>70.104135288002894</v>
      </c>
      <c r="BB12" s="15">
        <v>20.389549458454315</v>
      </c>
      <c r="BC12" s="15">
        <v>4.3864985766991715</v>
      </c>
      <c r="BD12" s="15">
        <v>10.45456120563516</v>
      </c>
    </row>
    <row r="13" spans="1:56" x14ac:dyDescent="0.3">
      <c r="A13" s="18">
        <v>2014</v>
      </c>
      <c r="B13" s="6" t="s">
        <v>24</v>
      </c>
      <c r="C13" s="6" t="str">
        <f t="shared" si="0"/>
        <v>HI</v>
      </c>
      <c r="D13" s="6" t="str">
        <f t="shared" si="1"/>
        <v>夏威夷</v>
      </c>
      <c r="E13" s="14">
        <v>85.919507947964419</v>
      </c>
      <c r="F13" s="14">
        <v>23.647958022043191</v>
      </c>
      <c r="G13" s="14">
        <v>57.467525297737232</v>
      </c>
      <c r="H13" s="14">
        <v>85.564006913094531</v>
      </c>
      <c r="I13" s="14">
        <v>99.07759046603698</v>
      </c>
      <c r="J13" s="14">
        <v>52.48782472813226</v>
      </c>
      <c r="K13" s="14">
        <v>59.869790294277692</v>
      </c>
      <c r="L13" s="14">
        <v>27.310346872128267</v>
      </c>
      <c r="M13" s="14">
        <v>80.273000176811891</v>
      </c>
      <c r="N13" s="14">
        <v>0.78754326632979321</v>
      </c>
      <c r="O13" s="14">
        <v>76.205348727393712</v>
      </c>
      <c r="P13" s="14">
        <v>42.955505394652583</v>
      </c>
      <c r="Q13" s="14">
        <v>76.23599751090471</v>
      </c>
      <c r="R13" s="14">
        <v>86.682665319271251</v>
      </c>
      <c r="S13" s="14">
        <v>74.099500030348636</v>
      </c>
      <c r="T13" s="14">
        <v>63.436507152366538</v>
      </c>
      <c r="U13" s="14">
        <v>28.385754618322355</v>
      </c>
      <c r="V13" s="14">
        <v>98.916308180694756</v>
      </c>
      <c r="W13" s="14">
        <v>94.591998117843062</v>
      </c>
      <c r="X13" s="14">
        <v>58.799332441446218</v>
      </c>
      <c r="Y13" s="14">
        <v>29.319247524522286</v>
      </c>
      <c r="Z13" s="14">
        <v>76.690493264528286</v>
      </c>
      <c r="AA13" s="14">
        <v>32.066590764813363</v>
      </c>
      <c r="AB13" s="14">
        <v>86.887060301651658</v>
      </c>
      <c r="AC13" s="14">
        <v>84.586781496571291</v>
      </c>
      <c r="AD13" s="14">
        <v>15.518648393283518</v>
      </c>
      <c r="AE13" s="14">
        <v>20.851585623687829</v>
      </c>
      <c r="AF13" s="14">
        <v>30.541363728906902</v>
      </c>
      <c r="AG13" s="14">
        <v>79.132646417331003</v>
      </c>
      <c r="AH13" s="14">
        <v>29.120523558672218</v>
      </c>
      <c r="AI13" s="14">
        <v>83.549603422045024</v>
      </c>
      <c r="AJ13" s="14">
        <v>39.190996342902395</v>
      </c>
      <c r="AK13" s="14">
        <v>31.618421254047114</v>
      </c>
      <c r="AL13" s="14">
        <v>16.244048194058248</v>
      </c>
      <c r="AM13" s="14">
        <v>22.026351609572604</v>
      </c>
      <c r="AN13" s="14">
        <v>29.05180212863786</v>
      </c>
      <c r="AO13" s="14">
        <v>49.243004870039378</v>
      </c>
      <c r="AP13" s="14">
        <v>22.044561746378466</v>
      </c>
      <c r="AQ13" s="14">
        <v>43.918999972931893</v>
      </c>
      <c r="AR13" s="14">
        <v>58.466857472127209</v>
      </c>
      <c r="AS13" s="14">
        <v>1.0905889311949801</v>
      </c>
      <c r="AT13" s="14">
        <v>7.4642211363453947</v>
      </c>
      <c r="AU13" s="14">
        <v>74.912800337225619</v>
      </c>
      <c r="AV13" s="14">
        <v>8.8593404279624259</v>
      </c>
      <c r="AW13" s="14">
        <v>21.014982567743047</v>
      </c>
      <c r="AX13" s="14">
        <v>7.7573376594785355</v>
      </c>
      <c r="AY13" s="14">
        <v>55.73031343466225</v>
      </c>
      <c r="AZ13" s="14">
        <v>50.523963801938578</v>
      </c>
      <c r="BA13" s="14">
        <v>37.895621208812848</v>
      </c>
      <c r="BB13" s="14">
        <v>46.750938850365877</v>
      </c>
      <c r="BC13" s="14">
        <v>94.774791229849725</v>
      </c>
      <c r="BD13" s="14">
        <v>77.72241055281107</v>
      </c>
    </row>
    <row r="14" spans="1:56" x14ac:dyDescent="0.3">
      <c r="A14" s="19">
        <v>2014</v>
      </c>
      <c r="B14" s="8" t="s">
        <v>26</v>
      </c>
      <c r="C14" s="8" t="str">
        <f t="shared" si="0"/>
        <v>ID</v>
      </c>
      <c r="D14" s="8" t="str">
        <f t="shared" si="1"/>
        <v>爱达荷州</v>
      </c>
      <c r="E14" s="15">
        <v>52.976715899977243</v>
      </c>
      <c r="F14" s="15">
        <v>5.4960511400383378</v>
      </c>
      <c r="G14" s="15">
        <v>94.660940408942722</v>
      </c>
      <c r="H14" s="15">
        <v>51.37728455375543</v>
      </c>
      <c r="I14" s="15">
        <v>26.810841149788011</v>
      </c>
      <c r="J14" s="15">
        <v>59.113894019870138</v>
      </c>
      <c r="K14" s="15">
        <v>62.993272003294109</v>
      </c>
      <c r="L14" s="15">
        <v>15.260522661390807</v>
      </c>
      <c r="M14" s="15">
        <v>72.387286618398832</v>
      </c>
      <c r="N14" s="15">
        <v>33.978108237112878</v>
      </c>
      <c r="O14" s="15">
        <v>50.626865401630674</v>
      </c>
      <c r="P14" s="15">
        <v>22.740337139677447</v>
      </c>
      <c r="Q14" s="15">
        <v>13.392434957219201</v>
      </c>
      <c r="R14" s="15">
        <v>45.564786675650872</v>
      </c>
      <c r="S14" s="15">
        <v>17.161421196830172</v>
      </c>
      <c r="T14" s="15">
        <v>0.37105901087306492</v>
      </c>
      <c r="U14" s="15">
        <v>26.789335465002562</v>
      </c>
      <c r="V14" s="15">
        <v>35.948689779527598</v>
      </c>
      <c r="W14" s="15">
        <v>21.347627324544792</v>
      </c>
      <c r="X14" s="15">
        <v>68.149226250900682</v>
      </c>
      <c r="Y14" s="15">
        <v>27.773365570094512</v>
      </c>
      <c r="Z14" s="15">
        <v>13.784086237118665</v>
      </c>
      <c r="AA14" s="15">
        <v>20.825251165988345</v>
      </c>
      <c r="AB14" s="15">
        <v>24.331567752791038</v>
      </c>
      <c r="AC14" s="15">
        <v>83.081344608266633</v>
      </c>
      <c r="AD14" s="15">
        <v>0.22213323978761412</v>
      </c>
      <c r="AE14" s="15">
        <v>52.50619207502298</v>
      </c>
      <c r="AF14" s="15">
        <v>69.903930866931375</v>
      </c>
      <c r="AG14" s="15">
        <v>16.227163648503982</v>
      </c>
      <c r="AH14" s="15">
        <v>70.020268199758348</v>
      </c>
      <c r="AI14" s="15">
        <v>33.426505486490477</v>
      </c>
      <c r="AJ14" s="15">
        <v>84.281496451300768</v>
      </c>
      <c r="AK14" s="15">
        <v>38.966045417368036</v>
      </c>
      <c r="AL14" s="15">
        <v>18.350939081473694</v>
      </c>
      <c r="AM14" s="15">
        <v>13.287980095923491</v>
      </c>
      <c r="AN14" s="15">
        <v>12.155231467995742</v>
      </c>
      <c r="AO14" s="15">
        <v>40.933871996769653</v>
      </c>
      <c r="AP14" s="15">
        <v>46.082029784612274</v>
      </c>
      <c r="AQ14" s="15">
        <v>90.493334046569572</v>
      </c>
      <c r="AR14" s="15">
        <v>5.7325518146054577</v>
      </c>
      <c r="AS14" s="15">
        <v>41.50320228847648</v>
      </c>
      <c r="AT14" s="15">
        <v>17.451544072038871</v>
      </c>
      <c r="AU14" s="15">
        <v>99.588521353888481</v>
      </c>
      <c r="AV14" s="15">
        <v>0.95209392287679551</v>
      </c>
      <c r="AW14" s="15">
        <v>10.166063965021376</v>
      </c>
      <c r="AX14" s="15">
        <v>58.188561453116662</v>
      </c>
      <c r="AY14" s="15">
        <v>90.084816148502028</v>
      </c>
      <c r="AZ14" s="15">
        <v>41.823450269774042</v>
      </c>
      <c r="BA14" s="15">
        <v>70.135229144616616</v>
      </c>
      <c r="BB14" s="15">
        <v>81.816865477039215</v>
      </c>
      <c r="BC14" s="15">
        <v>39.405404275499144</v>
      </c>
      <c r="BD14" s="15">
        <v>36.784698655060424</v>
      </c>
    </row>
    <row r="15" spans="1:56" x14ac:dyDescent="0.3">
      <c r="A15" s="18">
        <v>2014</v>
      </c>
      <c r="B15" s="6" t="s">
        <v>28</v>
      </c>
      <c r="C15" s="6" t="str">
        <f t="shared" si="0"/>
        <v>IL</v>
      </c>
      <c r="D15" s="6" t="str">
        <f t="shared" si="1"/>
        <v>伊利诺斯州</v>
      </c>
      <c r="E15" s="14">
        <v>62.719240790817899</v>
      </c>
      <c r="F15" s="14">
        <v>46.869527491557186</v>
      </c>
      <c r="G15" s="14">
        <v>27.828046216832835</v>
      </c>
      <c r="H15" s="14">
        <v>45.079419838249038</v>
      </c>
      <c r="I15" s="14">
        <v>21.167556059768032</v>
      </c>
      <c r="J15" s="14">
        <v>58.426947410701061</v>
      </c>
      <c r="K15" s="14">
        <v>39.420965375194207</v>
      </c>
      <c r="L15" s="14">
        <v>73.118408751448484</v>
      </c>
      <c r="M15" s="14">
        <v>15.935986259486823</v>
      </c>
      <c r="N15" s="14">
        <v>46.3809011132129</v>
      </c>
      <c r="O15" s="14">
        <v>2.5510656745281413</v>
      </c>
      <c r="P15" s="14">
        <v>24.801870864338294</v>
      </c>
      <c r="Q15" s="14">
        <v>40.091788999293399</v>
      </c>
      <c r="R15" s="14">
        <v>28.741016405130758</v>
      </c>
      <c r="S15" s="14">
        <v>8.4118188209228677</v>
      </c>
      <c r="T15" s="14">
        <v>36.730419009564805</v>
      </c>
      <c r="U15" s="14">
        <v>25.308609896998192</v>
      </c>
      <c r="V15" s="14">
        <v>69.986993462512402</v>
      </c>
      <c r="W15" s="14">
        <v>72.361620791854122</v>
      </c>
      <c r="X15" s="14">
        <v>10.098306843169414</v>
      </c>
      <c r="Y15" s="14">
        <v>83.075656743579799</v>
      </c>
      <c r="Z15" s="14">
        <v>6.3270923119192135</v>
      </c>
      <c r="AA15" s="14">
        <v>89.159298320022245</v>
      </c>
      <c r="AB15" s="14">
        <v>79.408306308936915</v>
      </c>
      <c r="AC15" s="14">
        <v>61.028711737135701</v>
      </c>
      <c r="AD15" s="14">
        <v>38.587580107109453</v>
      </c>
      <c r="AE15" s="14">
        <v>84.93005198024629</v>
      </c>
      <c r="AF15" s="14">
        <v>80.161466664718091</v>
      </c>
      <c r="AG15" s="14">
        <v>63.404272925894986</v>
      </c>
      <c r="AH15" s="14">
        <v>44.661348187533825</v>
      </c>
      <c r="AI15" s="14">
        <v>56.260048964995399</v>
      </c>
      <c r="AJ15" s="14">
        <v>25.688744010219555</v>
      </c>
      <c r="AK15" s="14">
        <v>23.450391182246001</v>
      </c>
      <c r="AL15" s="14">
        <v>66.101190821136569</v>
      </c>
      <c r="AM15" s="14">
        <v>71.439123493851923</v>
      </c>
      <c r="AN15" s="14">
        <v>68.774261533081997</v>
      </c>
      <c r="AO15" s="14">
        <v>45.24106568507942</v>
      </c>
      <c r="AP15" s="14">
        <v>8.1729645516474765</v>
      </c>
      <c r="AQ15" s="14">
        <v>46.579790261287727</v>
      </c>
      <c r="AR15" s="14">
        <v>34.257492272298784</v>
      </c>
      <c r="AS15" s="14">
        <v>59.333339892252233</v>
      </c>
      <c r="AT15" s="14">
        <v>43.712547765934907</v>
      </c>
      <c r="AU15" s="14">
        <v>46.312913471968542</v>
      </c>
      <c r="AV15" s="14">
        <v>2.9169664604609236</v>
      </c>
      <c r="AW15" s="14">
        <v>79.979232679288685</v>
      </c>
      <c r="AX15" s="14">
        <v>70.761550071176558</v>
      </c>
      <c r="AY15" s="14">
        <v>1.5061806698337454</v>
      </c>
      <c r="AZ15" s="14">
        <v>58.171501409916139</v>
      </c>
      <c r="BA15" s="14">
        <v>17.885506510234251</v>
      </c>
      <c r="BB15" s="14">
        <v>82.748589915073737</v>
      </c>
      <c r="BC15" s="14">
        <v>55.971680713221183</v>
      </c>
      <c r="BD15" s="14">
        <v>44.462848301111293</v>
      </c>
    </row>
    <row r="16" spans="1:56" x14ac:dyDescent="0.3">
      <c r="A16" s="19">
        <v>2014</v>
      </c>
      <c r="B16" s="8" t="s">
        <v>30</v>
      </c>
      <c r="C16" s="8" t="str">
        <f t="shared" si="0"/>
        <v>IN</v>
      </c>
      <c r="D16" s="8" t="str">
        <f t="shared" si="1"/>
        <v>印第安纳州</v>
      </c>
      <c r="E16" s="15">
        <v>77.657010408468125</v>
      </c>
      <c r="F16" s="15">
        <v>49.89763197096282</v>
      </c>
      <c r="G16" s="15">
        <v>15.144805619096346</v>
      </c>
      <c r="H16" s="15">
        <v>9.3895457696403177</v>
      </c>
      <c r="I16" s="15">
        <v>90.500096352016058</v>
      </c>
      <c r="J16" s="15">
        <v>67.556779968590561</v>
      </c>
      <c r="K16" s="15">
        <v>79.105484913161888</v>
      </c>
      <c r="L16" s="15">
        <v>16.841098681320577</v>
      </c>
      <c r="M16" s="15">
        <v>61.545119243947177</v>
      </c>
      <c r="N16" s="15">
        <v>17.843986156869729</v>
      </c>
      <c r="O16" s="15">
        <v>51.013712046793543</v>
      </c>
      <c r="P16" s="15">
        <v>82.598221720525345</v>
      </c>
      <c r="Q16" s="15">
        <v>58.234062004119039</v>
      </c>
      <c r="R16" s="15">
        <v>26.444507857746292</v>
      </c>
      <c r="S16" s="15">
        <v>83.915355628015064</v>
      </c>
      <c r="T16" s="15">
        <v>0.67043156853676678</v>
      </c>
      <c r="U16" s="15">
        <v>51.769616560754947</v>
      </c>
      <c r="V16" s="15">
        <v>73.640768159275595</v>
      </c>
      <c r="W16" s="15">
        <v>39.273677494791229</v>
      </c>
      <c r="X16" s="15">
        <v>17.712118146823521</v>
      </c>
      <c r="Y16" s="15">
        <v>54.746008193474481</v>
      </c>
      <c r="Z16" s="15">
        <v>1.0918390569224057</v>
      </c>
      <c r="AA16" s="15">
        <v>24.888119378267227</v>
      </c>
      <c r="AB16" s="15">
        <v>96.500638663548671</v>
      </c>
      <c r="AC16" s="15">
        <v>80.976220625748084</v>
      </c>
      <c r="AD16" s="15">
        <v>99.922261476308591</v>
      </c>
      <c r="AE16" s="15">
        <v>87.751123994638832</v>
      </c>
      <c r="AF16" s="15">
        <v>27.298476037037446</v>
      </c>
      <c r="AG16" s="15">
        <v>31.353166416540201</v>
      </c>
      <c r="AH16" s="15">
        <v>99.178583019796534</v>
      </c>
      <c r="AI16" s="15">
        <v>96.982695419985575</v>
      </c>
      <c r="AJ16" s="15">
        <v>97.373593457989841</v>
      </c>
      <c r="AK16" s="15">
        <v>40.576836578691392</v>
      </c>
      <c r="AL16" s="15">
        <v>84.720852493269547</v>
      </c>
      <c r="AM16" s="15">
        <v>15.396885943297889</v>
      </c>
      <c r="AN16" s="15">
        <v>3.8953713960146574</v>
      </c>
      <c r="AO16" s="15">
        <v>39.723735482996481</v>
      </c>
      <c r="AP16" s="15">
        <v>38.833628879944328</v>
      </c>
      <c r="AQ16" s="15">
        <v>55.368432871972715</v>
      </c>
      <c r="AR16" s="15">
        <v>20.309746549619632</v>
      </c>
      <c r="AS16" s="15">
        <v>43.534196388837017</v>
      </c>
      <c r="AT16" s="15">
        <v>73.56420890657472</v>
      </c>
      <c r="AU16" s="15">
        <v>4.3484175464719499</v>
      </c>
      <c r="AV16" s="15">
        <v>48.101986790967032</v>
      </c>
      <c r="AW16" s="15">
        <v>42.230966794162569</v>
      </c>
      <c r="AX16" s="15">
        <v>72.113553697343733</v>
      </c>
      <c r="AY16" s="15">
        <v>19.823566417067795</v>
      </c>
      <c r="AZ16" s="15">
        <v>72.597010946110089</v>
      </c>
      <c r="BA16" s="15">
        <v>48.539043983482657</v>
      </c>
      <c r="BB16" s="15">
        <v>92.699621269032221</v>
      </c>
      <c r="BC16" s="15">
        <v>0.32799077419252143</v>
      </c>
      <c r="BD16" s="15">
        <v>25.837838993241068</v>
      </c>
    </row>
    <row r="17" spans="1:56" x14ac:dyDescent="0.3">
      <c r="A17" s="18">
        <v>2014</v>
      </c>
      <c r="B17" s="6" t="s">
        <v>32</v>
      </c>
      <c r="C17" s="6" t="str">
        <f t="shared" si="0"/>
        <v>IA</v>
      </c>
      <c r="D17" s="6" t="str">
        <f t="shared" si="1"/>
        <v>爱荷华州</v>
      </c>
      <c r="E17" s="14">
        <v>19.540822578495522</v>
      </c>
      <c r="F17" s="14">
        <v>45.510417215543761</v>
      </c>
      <c r="G17" s="14">
        <v>45.605630119968744</v>
      </c>
      <c r="H17" s="14">
        <v>83.629908781395699</v>
      </c>
      <c r="I17" s="14">
        <v>86.534693670305529</v>
      </c>
      <c r="J17" s="14">
        <v>7.6760390683223605</v>
      </c>
      <c r="K17" s="14">
        <v>46.481041739853914</v>
      </c>
      <c r="L17" s="14">
        <v>92.456434397954339</v>
      </c>
      <c r="M17" s="14">
        <v>79.293691212768863</v>
      </c>
      <c r="N17" s="14">
        <v>55.199605716693654</v>
      </c>
      <c r="O17" s="14">
        <v>58.608983707958018</v>
      </c>
      <c r="P17" s="14">
        <v>50.942681470632188</v>
      </c>
      <c r="Q17" s="14">
        <v>38.362674305832364</v>
      </c>
      <c r="R17" s="14">
        <v>57.566718523382058</v>
      </c>
      <c r="S17" s="14">
        <v>93.478112866666436</v>
      </c>
      <c r="T17" s="14">
        <v>17.616259373936639</v>
      </c>
      <c r="U17" s="14">
        <v>22.911186384069403</v>
      </c>
      <c r="V17" s="14">
        <v>44.206396550272551</v>
      </c>
      <c r="W17" s="14">
        <v>0.73258761974653863</v>
      </c>
      <c r="X17" s="14">
        <v>61.963713795709175</v>
      </c>
      <c r="Y17" s="14">
        <v>23.798930151582564</v>
      </c>
      <c r="Z17" s="14">
        <v>74.110647345467058</v>
      </c>
      <c r="AA17" s="14">
        <v>93.754952346042202</v>
      </c>
      <c r="AB17" s="14">
        <v>77.305121538069244</v>
      </c>
      <c r="AC17" s="14">
        <v>7.5522690626155686</v>
      </c>
      <c r="AD17" s="14">
        <v>84.5263791283692</v>
      </c>
      <c r="AE17" s="14">
        <v>58.396888497625831</v>
      </c>
      <c r="AF17" s="14">
        <v>37.167901062792943</v>
      </c>
      <c r="AG17" s="14">
        <v>29.079031983552618</v>
      </c>
      <c r="AH17" s="14">
        <v>32.081924242640433</v>
      </c>
      <c r="AI17" s="14">
        <v>93.11069451915192</v>
      </c>
      <c r="AJ17" s="14">
        <v>22.79638357267827</v>
      </c>
      <c r="AK17" s="14">
        <v>70.672885933424041</v>
      </c>
      <c r="AL17" s="14">
        <v>16.114500197901084</v>
      </c>
      <c r="AM17" s="14">
        <v>44.744519067277942</v>
      </c>
      <c r="AN17" s="14">
        <v>97.345227595450353</v>
      </c>
      <c r="AO17" s="14">
        <v>45.240137120111022</v>
      </c>
      <c r="AP17" s="14">
        <v>38.431690384536921</v>
      </c>
      <c r="AQ17" s="14">
        <v>11.046093361559672</v>
      </c>
      <c r="AR17" s="14">
        <v>63.630750198057463</v>
      </c>
      <c r="AS17" s="14">
        <v>40.3272916625425</v>
      </c>
      <c r="AT17" s="14">
        <v>29.728882689036251</v>
      </c>
      <c r="AU17" s="14">
        <v>84.869099740195509</v>
      </c>
      <c r="AV17" s="14">
        <v>51.687449090929618</v>
      </c>
      <c r="AW17" s="14">
        <v>33.939474393679305</v>
      </c>
      <c r="AX17" s="14">
        <v>3.7349143508849103</v>
      </c>
      <c r="AY17" s="14">
        <v>59.741277023145358</v>
      </c>
      <c r="AZ17" s="14">
        <v>93.86325541775436</v>
      </c>
      <c r="BA17" s="14">
        <v>51.14776528491236</v>
      </c>
      <c r="BB17" s="14">
        <v>82.419781732504987</v>
      </c>
      <c r="BC17" s="14">
        <v>3.5382124578414165</v>
      </c>
      <c r="BD17" s="14">
        <v>45.576692611600976</v>
      </c>
    </row>
    <row r="18" spans="1:56" x14ac:dyDescent="0.3">
      <c r="A18" s="19">
        <v>2014</v>
      </c>
      <c r="B18" s="8" t="s">
        <v>34</v>
      </c>
      <c r="C18" s="8" t="str">
        <f t="shared" si="0"/>
        <v>KS</v>
      </c>
      <c r="D18" s="8" t="str">
        <f t="shared" si="1"/>
        <v>堪萨斯</v>
      </c>
      <c r="E18" s="15">
        <v>7.678235719698967</v>
      </c>
      <c r="F18" s="15">
        <v>17.59796322462034</v>
      </c>
      <c r="G18" s="15">
        <v>32.723066591551998</v>
      </c>
      <c r="H18" s="15">
        <v>25.587031880909482</v>
      </c>
      <c r="I18" s="15">
        <v>29.504787346244566</v>
      </c>
      <c r="J18" s="15">
        <v>40.419057127584701</v>
      </c>
      <c r="K18" s="15">
        <v>30.074890639585927</v>
      </c>
      <c r="L18" s="15">
        <v>10.705593587333951</v>
      </c>
      <c r="M18" s="15">
        <v>76.555046243652853</v>
      </c>
      <c r="N18" s="15">
        <v>97.72775676970997</v>
      </c>
      <c r="O18" s="15">
        <v>34.233643755147405</v>
      </c>
      <c r="P18" s="15">
        <v>81.07529185206154</v>
      </c>
      <c r="Q18" s="15">
        <v>54.656827229401003</v>
      </c>
      <c r="R18" s="15">
        <v>61.037945206455703</v>
      </c>
      <c r="S18" s="15">
        <v>57.31225195126072</v>
      </c>
      <c r="T18" s="15">
        <v>67.314077344083628</v>
      </c>
      <c r="U18" s="15">
        <v>7.697041527258353</v>
      </c>
      <c r="V18" s="15">
        <v>16.579068728089798</v>
      </c>
      <c r="W18" s="15">
        <v>7.9879396067331303</v>
      </c>
      <c r="X18" s="15">
        <v>83.926291627527618</v>
      </c>
      <c r="Y18" s="15">
        <v>59.318428620157704</v>
      </c>
      <c r="Z18" s="15">
        <v>31.850819451617586</v>
      </c>
      <c r="AA18" s="15">
        <v>65.764504693847229</v>
      </c>
      <c r="AB18" s="15">
        <v>63.57852645114329</v>
      </c>
      <c r="AC18" s="15">
        <v>60.546436959470682</v>
      </c>
      <c r="AD18" s="15">
        <v>52.888314966807826</v>
      </c>
      <c r="AE18" s="15">
        <v>74.039273754062137</v>
      </c>
      <c r="AF18" s="15">
        <v>41.63933759697521</v>
      </c>
      <c r="AG18" s="15">
        <v>55.648840729288565</v>
      </c>
      <c r="AH18" s="15">
        <v>76.031542230053191</v>
      </c>
      <c r="AI18" s="15">
        <v>25.937224225661716</v>
      </c>
      <c r="AJ18" s="15">
        <v>41.315649479960634</v>
      </c>
      <c r="AK18" s="15">
        <v>69.610317046258785</v>
      </c>
      <c r="AL18" s="15">
        <v>28.868291701087735</v>
      </c>
      <c r="AM18" s="15">
        <v>67.004103183154925</v>
      </c>
      <c r="AN18" s="15">
        <v>62.131780171389039</v>
      </c>
      <c r="AO18" s="15">
        <v>44.551140183003589</v>
      </c>
      <c r="AP18" s="15">
        <v>90.818580183932511</v>
      </c>
      <c r="AQ18" s="15">
        <v>87.933158385166593</v>
      </c>
      <c r="AR18" s="15">
        <v>63.341208549300767</v>
      </c>
      <c r="AS18" s="15">
        <v>91.283846686618517</v>
      </c>
      <c r="AT18" s="15">
        <v>32.005060273236893</v>
      </c>
      <c r="AU18" s="15">
        <v>20.06267131251186</v>
      </c>
      <c r="AV18" s="15">
        <v>23.153551896689628</v>
      </c>
      <c r="AW18" s="15">
        <v>67.740338154637158</v>
      </c>
      <c r="AX18" s="15">
        <v>86.867227387496087</v>
      </c>
      <c r="AY18" s="15">
        <v>20.731600779265147</v>
      </c>
      <c r="AZ18" s="15">
        <v>1.5956484178318076</v>
      </c>
      <c r="BA18" s="15">
        <v>96.24639641425226</v>
      </c>
      <c r="BB18" s="15">
        <v>2.1674607928548029</v>
      </c>
      <c r="BC18" s="15">
        <v>1.4340223453695455</v>
      </c>
      <c r="BD18" s="15">
        <v>10.168236033892054</v>
      </c>
    </row>
    <row r="19" spans="1:56" x14ac:dyDescent="0.3">
      <c r="A19" s="18">
        <v>2014</v>
      </c>
      <c r="B19" s="6" t="s">
        <v>36</v>
      </c>
      <c r="C19" s="6" t="str">
        <f t="shared" si="0"/>
        <v>KY</v>
      </c>
      <c r="D19" s="6" t="str">
        <f t="shared" si="1"/>
        <v>肯塔基州</v>
      </c>
      <c r="E19" s="14">
        <v>74.986581219874637</v>
      </c>
      <c r="F19" s="14">
        <v>62.053200269667805</v>
      </c>
      <c r="G19" s="14">
        <v>89.606262399470594</v>
      </c>
      <c r="H19" s="14">
        <v>86.377588130456289</v>
      </c>
      <c r="I19" s="14">
        <v>9.2759637002402524</v>
      </c>
      <c r="J19" s="14">
        <v>42.547818461790065</v>
      </c>
      <c r="K19" s="14">
        <v>61.348170605015738</v>
      </c>
      <c r="L19" s="14">
        <v>40.919283398764108</v>
      </c>
      <c r="M19" s="14">
        <v>39.720042255333233</v>
      </c>
      <c r="N19" s="14">
        <v>28.59126582850584</v>
      </c>
      <c r="O19" s="14">
        <v>98.069297652794845</v>
      </c>
      <c r="P19" s="14">
        <v>38.121793038353935</v>
      </c>
      <c r="Q19" s="14">
        <v>71.342586879461464</v>
      </c>
      <c r="R19" s="14">
        <v>96.670654446376744</v>
      </c>
      <c r="S19" s="14">
        <v>1.4012162940098993</v>
      </c>
      <c r="T19" s="14">
        <v>4.0117046407228685E-2</v>
      </c>
      <c r="U19" s="14">
        <v>89.327089995498113</v>
      </c>
      <c r="V19" s="14">
        <v>78.443174682648987</v>
      </c>
      <c r="W19" s="14">
        <v>2.3540759339224726</v>
      </c>
      <c r="X19" s="14">
        <v>73.985089163065126</v>
      </c>
      <c r="Y19" s="14">
        <v>29.227829249514347</v>
      </c>
      <c r="Z19" s="14">
        <v>9.1358359044778403</v>
      </c>
      <c r="AA19" s="14">
        <v>42.835977327125143</v>
      </c>
      <c r="AB19" s="14">
        <v>50.392409050201827</v>
      </c>
      <c r="AC19" s="14">
        <v>67.496784690474669</v>
      </c>
      <c r="AD19" s="14">
        <v>42.752816274677187</v>
      </c>
      <c r="AE19" s="14">
        <v>89.354673993553021</v>
      </c>
      <c r="AF19" s="14">
        <v>18.503393952766878</v>
      </c>
      <c r="AG19" s="14">
        <v>62.879914930897925</v>
      </c>
      <c r="AH19" s="14">
        <v>85.708225922059356</v>
      </c>
      <c r="AI19" s="14">
        <v>62.659947196404367</v>
      </c>
      <c r="AJ19" s="14">
        <v>29.235783426082218</v>
      </c>
      <c r="AK19" s="14">
        <v>97.855829138221893</v>
      </c>
      <c r="AL19" s="14">
        <v>78.895719857861778</v>
      </c>
      <c r="AM19" s="14">
        <v>86.765085194018766</v>
      </c>
      <c r="AN19" s="14">
        <v>83.043850876313357</v>
      </c>
      <c r="AO19" s="14">
        <v>81.587331823533106</v>
      </c>
      <c r="AP19" s="14">
        <v>17.695418517954042</v>
      </c>
      <c r="AQ19" s="14">
        <v>53.768195262204813</v>
      </c>
      <c r="AR19" s="14">
        <v>0.24401627567833817</v>
      </c>
      <c r="AS19" s="14">
        <v>11.328767454451183</v>
      </c>
      <c r="AT19" s="14">
        <v>86.696121972528502</v>
      </c>
      <c r="AU19" s="14">
        <v>96.957891627440091</v>
      </c>
      <c r="AV19" s="14">
        <v>88.322145768527051</v>
      </c>
      <c r="AW19" s="14">
        <v>62.076802805937781</v>
      </c>
      <c r="AX19" s="14">
        <v>26.837113468612728</v>
      </c>
      <c r="AY19" s="14">
        <v>22.81975487580754</v>
      </c>
      <c r="AZ19" s="14">
        <v>84.533658977147724</v>
      </c>
      <c r="BA19" s="14">
        <v>25.883932225908378</v>
      </c>
      <c r="BB19" s="14">
        <v>4.0463766305994797</v>
      </c>
      <c r="BC19" s="14">
        <v>31.936079454487864</v>
      </c>
      <c r="BD19" s="14">
        <v>46.863941166196277</v>
      </c>
    </row>
    <row r="20" spans="1:56" x14ac:dyDescent="0.3">
      <c r="A20" s="19">
        <v>2014</v>
      </c>
      <c r="B20" s="8" t="s">
        <v>38</v>
      </c>
      <c r="C20" s="8" t="str">
        <f t="shared" si="0"/>
        <v>LA</v>
      </c>
      <c r="D20" s="8" t="str">
        <f t="shared" si="1"/>
        <v>路易斯安那州</v>
      </c>
      <c r="E20" s="15">
        <v>63.857264484611278</v>
      </c>
      <c r="F20" s="15">
        <v>29.884890745984006</v>
      </c>
      <c r="G20" s="15">
        <v>24.479268963908563</v>
      </c>
      <c r="H20" s="15">
        <v>24.629942940098104</v>
      </c>
      <c r="I20" s="15">
        <v>77.524358921404854</v>
      </c>
      <c r="J20" s="15">
        <v>22.013364320288929</v>
      </c>
      <c r="K20" s="15">
        <v>20.579127738297309</v>
      </c>
      <c r="L20" s="15">
        <v>12.464792175132299</v>
      </c>
      <c r="M20" s="15">
        <v>50.471683435888806</v>
      </c>
      <c r="N20" s="15">
        <v>19.350723629543587</v>
      </c>
      <c r="O20" s="15">
        <v>5.0429617863781306</v>
      </c>
      <c r="P20" s="15">
        <v>95.903814002408041</v>
      </c>
      <c r="Q20" s="15">
        <v>15.101575311164305</v>
      </c>
      <c r="R20" s="15">
        <v>13.228254118859894</v>
      </c>
      <c r="S20" s="15">
        <v>0.95907407598466721</v>
      </c>
      <c r="T20" s="15">
        <v>26.363827484661773</v>
      </c>
      <c r="U20" s="15">
        <v>23.406475492329083</v>
      </c>
      <c r="V20" s="15">
        <v>58.128191429049245</v>
      </c>
      <c r="W20" s="15">
        <v>95.177238129127474</v>
      </c>
      <c r="X20" s="15">
        <v>82.950708673271464</v>
      </c>
      <c r="Y20" s="15">
        <v>42.359147060067329</v>
      </c>
      <c r="Z20" s="15">
        <v>76.832568586711076</v>
      </c>
      <c r="AA20" s="15">
        <v>20.213089929759654</v>
      </c>
      <c r="AB20" s="15">
        <v>89.034458846018751</v>
      </c>
      <c r="AC20" s="15">
        <v>71.092752297773671</v>
      </c>
      <c r="AD20" s="15">
        <v>68.531990276859489</v>
      </c>
      <c r="AE20" s="15">
        <v>96.242211480320321</v>
      </c>
      <c r="AF20" s="15">
        <v>44.407743585073092</v>
      </c>
      <c r="AG20" s="15">
        <v>54.692664595885333</v>
      </c>
      <c r="AH20" s="15">
        <v>24.653981876852459</v>
      </c>
      <c r="AI20" s="15">
        <v>79.745928294233138</v>
      </c>
      <c r="AJ20" s="15">
        <v>84.870654346911081</v>
      </c>
      <c r="AK20" s="15">
        <v>66.96741676177696</v>
      </c>
      <c r="AL20" s="15">
        <v>6.1437842853629521</v>
      </c>
      <c r="AM20" s="15">
        <v>33.13853607082978</v>
      </c>
      <c r="AN20" s="15">
        <v>2.1124896699839524</v>
      </c>
      <c r="AO20" s="15">
        <v>46.792519697200952</v>
      </c>
      <c r="AP20" s="15">
        <v>78.018487827705258</v>
      </c>
      <c r="AQ20" s="15">
        <v>77.731258043362899</v>
      </c>
      <c r="AR20" s="15">
        <v>7.6028699705123826</v>
      </c>
      <c r="AS20" s="15">
        <v>14.747149928403115</v>
      </c>
      <c r="AT20" s="15">
        <v>14.768781296912415</v>
      </c>
      <c r="AU20" s="15">
        <v>46.507983859679172</v>
      </c>
      <c r="AV20" s="15">
        <v>37.486714468360901</v>
      </c>
      <c r="AW20" s="15">
        <v>17.694213645096259</v>
      </c>
      <c r="AX20" s="15">
        <v>27.331437355205001</v>
      </c>
      <c r="AY20" s="15">
        <v>73.506245400292926</v>
      </c>
      <c r="AZ20" s="15">
        <v>7.3429229566424397</v>
      </c>
      <c r="BA20" s="15">
        <v>19.615132238230736</v>
      </c>
      <c r="BB20" s="15">
        <v>28.127565954149869</v>
      </c>
      <c r="BC20" s="15">
        <v>63.377191779371053</v>
      </c>
      <c r="BD20" s="15">
        <v>68.085492294458717</v>
      </c>
    </row>
    <row r="21" spans="1:56" x14ac:dyDescent="0.3">
      <c r="A21" s="18">
        <v>2014</v>
      </c>
      <c r="B21" s="6" t="s">
        <v>40</v>
      </c>
      <c r="C21" s="6" t="str">
        <f t="shared" si="0"/>
        <v>ME</v>
      </c>
      <c r="D21" s="6" t="str">
        <f t="shared" si="1"/>
        <v>缅因州</v>
      </c>
      <c r="E21" s="14">
        <v>80.184937786187703</v>
      </c>
      <c r="F21" s="14">
        <v>13.62634477959107</v>
      </c>
      <c r="G21" s="14">
        <v>90.918053479498866</v>
      </c>
      <c r="H21" s="14">
        <v>25.021998370700171</v>
      </c>
      <c r="I21" s="14">
        <v>4.6171374536188914</v>
      </c>
      <c r="J21" s="14">
        <v>86.667069409038149</v>
      </c>
      <c r="K21" s="14">
        <v>97.494838968690786</v>
      </c>
      <c r="L21" s="14">
        <v>90.484249348451812</v>
      </c>
      <c r="M21" s="14">
        <v>29.562850834652675</v>
      </c>
      <c r="N21" s="14">
        <v>83.432339377563366</v>
      </c>
      <c r="O21" s="14">
        <v>60.883265573942722</v>
      </c>
      <c r="P21" s="14">
        <v>24.39487099720904</v>
      </c>
      <c r="Q21" s="14">
        <v>35.203861997245511</v>
      </c>
      <c r="R21" s="14">
        <v>99.020407367485319</v>
      </c>
      <c r="S21" s="14">
        <v>18.545997178516949</v>
      </c>
      <c r="T21" s="14">
        <v>54.703822599150612</v>
      </c>
      <c r="U21" s="14">
        <v>24.396205425072626</v>
      </c>
      <c r="V21" s="14">
        <v>36.808576427383841</v>
      </c>
      <c r="W21" s="14">
        <v>38.040810464712791</v>
      </c>
      <c r="X21" s="14">
        <v>78.842370321457821</v>
      </c>
      <c r="Y21" s="14">
        <v>21.364690395649998</v>
      </c>
      <c r="Z21" s="14">
        <v>70.172057191014858</v>
      </c>
      <c r="AA21" s="14">
        <v>59.732699114929979</v>
      </c>
      <c r="AB21" s="14">
        <v>20.682993952609539</v>
      </c>
      <c r="AC21" s="14">
        <v>65.093886708105615</v>
      </c>
      <c r="AD21" s="14">
        <v>49.438321192473275</v>
      </c>
      <c r="AE21" s="14">
        <v>8.4171063960497889</v>
      </c>
      <c r="AF21" s="14">
        <v>79.023466503194712</v>
      </c>
      <c r="AG21" s="14">
        <v>2.6514979324461008</v>
      </c>
      <c r="AH21" s="14">
        <v>18.460571972239936</v>
      </c>
      <c r="AI21" s="14">
        <v>24.947325098527195</v>
      </c>
      <c r="AJ21" s="14">
        <v>50.002823210068371</v>
      </c>
      <c r="AK21" s="14">
        <v>49.888771844681187</v>
      </c>
      <c r="AL21" s="14">
        <v>8.0369967001782232</v>
      </c>
      <c r="AM21" s="14">
        <v>25.101899626603718</v>
      </c>
      <c r="AN21" s="14">
        <v>88.485604813290323</v>
      </c>
      <c r="AO21" s="14">
        <v>73.544042636702002</v>
      </c>
      <c r="AP21" s="14">
        <v>66.761150393792789</v>
      </c>
      <c r="AQ21" s="14">
        <v>11.358080823671868</v>
      </c>
      <c r="AR21" s="14">
        <v>53.849135102434154</v>
      </c>
      <c r="AS21" s="14">
        <v>55.895155353451599</v>
      </c>
      <c r="AT21" s="14">
        <v>10.189032023191679</v>
      </c>
      <c r="AU21" s="14">
        <v>35.460316828569646</v>
      </c>
      <c r="AV21" s="14">
        <v>78.661008520849435</v>
      </c>
      <c r="AW21" s="14">
        <v>27.943298765640744</v>
      </c>
      <c r="AX21" s="14">
        <v>12.909594601174446</v>
      </c>
      <c r="AY21" s="14">
        <v>39.425885262581204</v>
      </c>
      <c r="AZ21" s="14">
        <v>28.063857052172825</v>
      </c>
      <c r="BA21" s="14">
        <v>85.235929476892906</v>
      </c>
      <c r="BB21" s="14">
        <v>32.903578112925011</v>
      </c>
      <c r="BC21" s="14">
        <v>56.362174581880609</v>
      </c>
      <c r="BD21" s="14">
        <v>24.311006697945515</v>
      </c>
    </row>
    <row r="22" spans="1:56" x14ac:dyDescent="0.3">
      <c r="A22" s="19">
        <v>2014</v>
      </c>
      <c r="B22" s="8" t="s">
        <v>42</v>
      </c>
      <c r="C22" s="8" t="str">
        <f t="shared" si="0"/>
        <v>MD</v>
      </c>
      <c r="D22" s="8" t="str">
        <f t="shared" si="1"/>
        <v>马里兰</v>
      </c>
      <c r="E22" s="15">
        <v>97.494768038904056</v>
      </c>
      <c r="F22" s="15">
        <v>25.918976728430565</v>
      </c>
      <c r="G22" s="15">
        <v>69.290359826474202</v>
      </c>
      <c r="H22" s="15">
        <v>42.644913179161037</v>
      </c>
      <c r="I22" s="15">
        <v>38.753275768994442</v>
      </c>
      <c r="J22" s="15">
        <v>98.730522481608631</v>
      </c>
      <c r="K22" s="15">
        <v>50.460149106969645</v>
      </c>
      <c r="L22" s="15">
        <v>92.218051912048452</v>
      </c>
      <c r="M22" s="15">
        <v>45.382502657054211</v>
      </c>
      <c r="N22" s="15">
        <v>65.423173371008986</v>
      </c>
      <c r="O22" s="15">
        <v>17.296549258172135</v>
      </c>
      <c r="P22" s="15">
        <v>18.379271329465919</v>
      </c>
      <c r="Q22" s="15">
        <v>97.748263183755739</v>
      </c>
      <c r="R22" s="15">
        <v>18.202573188809723</v>
      </c>
      <c r="S22" s="15">
        <v>2.3093589360145828E-3</v>
      </c>
      <c r="T22" s="15">
        <v>14.700541922019561</v>
      </c>
      <c r="U22" s="15">
        <v>2.0374738727990449</v>
      </c>
      <c r="V22" s="15">
        <v>41.056826161230987</v>
      </c>
      <c r="W22" s="15">
        <v>66.199966757094998</v>
      </c>
      <c r="X22" s="15">
        <v>25.147642805630799</v>
      </c>
      <c r="Y22" s="15">
        <v>78.489959333078232</v>
      </c>
      <c r="Z22" s="15">
        <v>25.934354600444752</v>
      </c>
      <c r="AA22" s="15">
        <v>60.26790644057921</v>
      </c>
      <c r="AB22" s="15">
        <v>52.026172123885196</v>
      </c>
      <c r="AC22" s="15">
        <v>78.068820990554826</v>
      </c>
      <c r="AD22" s="15">
        <v>69.784365447365346</v>
      </c>
      <c r="AE22" s="15">
        <v>84.980921923070724</v>
      </c>
      <c r="AF22" s="15">
        <v>57.292094955521137</v>
      </c>
      <c r="AG22" s="15">
        <v>29.740330616901399</v>
      </c>
      <c r="AH22" s="15">
        <v>56.572935501626489</v>
      </c>
      <c r="AI22" s="15">
        <v>4.0030442862835525</v>
      </c>
      <c r="AJ22" s="15">
        <v>33.165076031967558</v>
      </c>
      <c r="AK22" s="15">
        <v>21.172226339789802</v>
      </c>
      <c r="AL22" s="15">
        <v>1.758628335217205</v>
      </c>
      <c r="AM22" s="15">
        <v>55.342274863105786</v>
      </c>
      <c r="AN22" s="15">
        <v>90.258858527928993</v>
      </c>
      <c r="AO22" s="15">
        <v>88.647822277112951</v>
      </c>
      <c r="AP22" s="15">
        <v>66.59333901906615</v>
      </c>
      <c r="AQ22" s="15">
        <v>35.233894082292117</v>
      </c>
      <c r="AR22" s="15">
        <v>66.064776921804935</v>
      </c>
      <c r="AS22" s="15">
        <v>11.260635668927065</v>
      </c>
      <c r="AT22" s="15">
        <v>39.133895284195496</v>
      </c>
      <c r="AU22" s="15">
        <v>24.34704695361134</v>
      </c>
      <c r="AV22" s="15">
        <v>42.720258475051743</v>
      </c>
      <c r="AW22" s="15">
        <v>79.959810012499574</v>
      </c>
      <c r="AX22" s="15">
        <v>98.872034138068983</v>
      </c>
      <c r="AY22" s="15">
        <v>47.981670162422006</v>
      </c>
      <c r="AZ22" s="15">
        <v>11.578368282292317</v>
      </c>
      <c r="BA22" s="15">
        <v>42.434370650389354</v>
      </c>
      <c r="BB22" s="15">
        <v>53.77245265048964</v>
      </c>
      <c r="BC22" s="15">
        <v>75.649214037482935</v>
      </c>
      <c r="BD22" s="15">
        <v>41.286823638467396</v>
      </c>
    </row>
    <row r="23" spans="1:56" x14ac:dyDescent="0.3">
      <c r="A23" s="18">
        <v>2014</v>
      </c>
      <c r="B23" s="6" t="s">
        <v>44</v>
      </c>
      <c r="C23" s="6" t="str">
        <f t="shared" si="0"/>
        <v>MA</v>
      </c>
      <c r="D23" s="6" t="str">
        <f t="shared" si="1"/>
        <v>麻萨诸塞州</v>
      </c>
      <c r="E23" s="14">
        <v>60.23485782139938</v>
      </c>
      <c r="F23" s="14">
        <v>49.269179333238192</v>
      </c>
      <c r="G23" s="14">
        <v>53.477461532074635</v>
      </c>
      <c r="H23" s="14">
        <v>86.349430201080793</v>
      </c>
      <c r="I23" s="14">
        <v>75.869784440068145</v>
      </c>
      <c r="J23" s="14">
        <v>11.178543996188395</v>
      </c>
      <c r="K23" s="14">
        <v>46.09417281076761</v>
      </c>
      <c r="L23" s="14">
        <v>28.555779897837354</v>
      </c>
      <c r="M23" s="14">
        <v>30.1903728076657</v>
      </c>
      <c r="N23" s="14">
        <v>7.7074791131822913</v>
      </c>
      <c r="O23" s="14">
        <v>72.609594381473315</v>
      </c>
      <c r="P23" s="14">
        <v>7.1287696936221607</v>
      </c>
      <c r="Q23" s="14">
        <v>6.6175238507353074</v>
      </c>
      <c r="R23" s="14">
        <v>16.270120026729128</v>
      </c>
      <c r="S23" s="14">
        <v>17.38995473707735</v>
      </c>
      <c r="T23" s="14">
        <v>42.940547760457491</v>
      </c>
      <c r="U23" s="14">
        <v>80.565601844062158</v>
      </c>
      <c r="V23" s="14">
        <v>64.071911539571744</v>
      </c>
      <c r="W23" s="14">
        <v>49.890709913606202</v>
      </c>
      <c r="X23" s="14">
        <v>97.981098719330546</v>
      </c>
      <c r="Y23" s="14">
        <v>96.900603804240731</v>
      </c>
      <c r="Z23" s="14">
        <v>33.664609289127952</v>
      </c>
      <c r="AA23" s="14">
        <v>79.130802294553604</v>
      </c>
      <c r="AB23" s="14">
        <v>40.264839611309235</v>
      </c>
      <c r="AC23" s="14">
        <v>61.816947260438063</v>
      </c>
      <c r="AD23" s="14">
        <v>4.5930435280033706</v>
      </c>
      <c r="AE23" s="14">
        <v>42.017409617043178</v>
      </c>
      <c r="AF23" s="14">
        <v>61.879827979945865</v>
      </c>
      <c r="AG23" s="14">
        <v>11.836219375971535</v>
      </c>
      <c r="AH23" s="14">
        <v>32.448418665673039</v>
      </c>
      <c r="AI23" s="14">
        <v>53.875335007980716</v>
      </c>
      <c r="AJ23" s="14">
        <v>49.406148201557933</v>
      </c>
      <c r="AK23" s="14">
        <v>0.37290114694452647</v>
      </c>
      <c r="AL23" s="14">
        <v>77.127166053721751</v>
      </c>
      <c r="AM23" s="14">
        <v>1.1970152352345997</v>
      </c>
      <c r="AN23" s="14">
        <v>46.253115955973357</v>
      </c>
      <c r="AO23" s="14">
        <v>42.242880848236794</v>
      </c>
      <c r="AP23" s="14">
        <v>42.460770754639263</v>
      </c>
      <c r="AQ23" s="14">
        <v>30.791658193406324</v>
      </c>
      <c r="AR23" s="14">
        <v>8.2040220517787255</v>
      </c>
      <c r="AS23" s="14">
        <v>86.341914770937166</v>
      </c>
      <c r="AT23" s="14">
        <v>19.870960792445135</v>
      </c>
      <c r="AU23" s="14">
        <v>91.298566598237386</v>
      </c>
      <c r="AV23" s="14">
        <v>87.467796975800368</v>
      </c>
      <c r="AW23" s="14">
        <v>26.175491378939785</v>
      </c>
      <c r="AX23" s="14">
        <v>68.955575836480094</v>
      </c>
      <c r="AY23" s="14">
        <v>24.179546923069161</v>
      </c>
      <c r="AZ23" s="14">
        <v>42.913030264130683</v>
      </c>
      <c r="BA23" s="14">
        <v>4.653359164953585</v>
      </c>
      <c r="BB23" s="14">
        <v>13.99654546500021</v>
      </c>
      <c r="BC23" s="14">
        <v>24.913860158111913</v>
      </c>
      <c r="BD23" s="14">
        <v>16.886964832039098</v>
      </c>
    </row>
    <row r="24" spans="1:56" x14ac:dyDescent="0.3">
      <c r="A24" s="19">
        <v>2014</v>
      </c>
      <c r="B24" s="8" t="s">
        <v>46</v>
      </c>
      <c r="C24" s="8" t="str">
        <f t="shared" si="0"/>
        <v>MI</v>
      </c>
      <c r="D24" s="8" t="str">
        <f t="shared" si="1"/>
        <v>密歇根</v>
      </c>
      <c r="E24" s="15">
        <v>49.485128222594376</v>
      </c>
      <c r="F24" s="15">
        <v>53.796808135970196</v>
      </c>
      <c r="G24" s="15">
        <v>88.589103440836354</v>
      </c>
      <c r="H24" s="15">
        <v>62.686495810518174</v>
      </c>
      <c r="I24" s="15">
        <v>38.476900078332719</v>
      </c>
      <c r="J24" s="15">
        <v>77.353713408900958</v>
      </c>
      <c r="K24" s="15">
        <v>8.117117803569263</v>
      </c>
      <c r="L24" s="15">
        <v>25.947957098268613</v>
      </c>
      <c r="M24" s="15">
        <v>76.240513458928618</v>
      </c>
      <c r="N24" s="15">
        <v>68.117247240961476</v>
      </c>
      <c r="O24" s="15">
        <v>44.235203048342406</v>
      </c>
      <c r="P24" s="15">
        <v>30.619470701063733</v>
      </c>
      <c r="Q24" s="15">
        <v>10.916027947444395</v>
      </c>
      <c r="R24" s="15">
        <v>86.348468773672778</v>
      </c>
      <c r="S24" s="15">
        <v>24.717187977689292</v>
      </c>
      <c r="T24" s="15">
        <v>63.884427883706742</v>
      </c>
      <c r="U24" s="15">
        <v>67.728645812717104</v>
      </c>
      <c r="V24" s="15">
        <v>55.107900540102925</v>
      </c>
      <c r="W24" s="15">
        <v>90.385767150637193</v>
      </c>
      <c r="X24" s="15">
        <v>49.321100624357605</v>
      </c>
      <c r="Y24" s="15">
        <v>67.972582691061703</v>
      </c>
      <c r="Z24" s="15">
        <v>26.995609235776829</v>
      </c>
      <c r="AA24" s="15">
        <v>19.344260685622949</v>
      </c>
      <c r="AB24" s="15">
        <v>29.070680240297143</v>
      </c>
      <c r="AC24" s="15">
        <v>67.589554618471155</v>
      </c>
      <c r="AD24" s="15">
        <v>50.703093495980866</v>
      </c>
      <c r="AE24" s="15">
        <v>86.423630033064541</v>
      </c>
      <c r="AF24" s="15">
        <v>90.689634132735279</v>
      </c>
      <c r="AG24" s="15">
        <v>53.541030094203904</v>
      </c>
      <c r="AH24" s="15">
        <v>34.076021177311603</v>
      </c>
      <c r="AI24" s="15">
        <v>83.515407252764064</v>
      </c>
      <c r="AJ24" s="15">
        <v>17.334003745758352</v>
      </c>
      <c r="AK24" s="15">
        <v>11.696188597555778</v>
      </c>
      <c r="AL24" s="15">
        <v>67.129213182299736</v>
      </c>
      <c r="AM24" s="15">
        <v>70.583516683799573</v>
      </c>
      <c r="AN24" s="15">
        <v>98.814719620129296</v>
      </c>
      <c r="AO24" s="15">
        <v>2.5649902927173174</v>
      </c>
      <c r="AP24" s="15">
        <v>38.161657128054706</v>
      </c>
      <c r="AQ24" s="15">
        <v>55.241112761121677</v>
      </c>
      <c r="AR24" s="15">
        <v>14.461855830023239</v>
      </c>
      <c r="AS24" s="15">
        <v>22.906434103701081</v>
      </c>
      <c r="AT24" s="15">
        <v>43.051445232060203</v>
      </c>
      <c r="AU24" s="15">
        <v>77.22277314253904</v>
      </c>
      <c r="AV24" s="15">
        <v>33.517456887238993</v>
      </c>
      <c r="AW24" s="15">
        <v>29.578823603176229</v>
      </c>
      <c r="AX24" s="15">
        <v>94.42968843606107</v>
      </c>
      <c r="AY24" s="15">
        <v>31.27964534091474</v>
      </c>
      <c r="AZ24" s="15">
        <v>62.175470776070043</v>
      </c>
      <c r="BA24" s="15">
        <v>35.569659786736011</v>
      </c>
      <c r="BB24" s="15">
        <v>95.534271815798149</v>
      </c>
      <c r="BC24" s="15">
        <v>58.67950419449739</v>
      </c>
      <c r="BD24" s="15">
        <v>11.86860341932775</v>
      </c>
    </row>
    <row r="25" spans="1:56" x14ac:dyDescent="0.3">
      <c r="A25" s="18">
        <v>2014</v>
      </c>
      <c r="B25" s="6" t="s">
        <v>48</v>
      </c>
      <c r="C25" s="6" t="str">
        <f t="shared" si="0"/>
        <v>MN</v>
      </c>
      <c r="D25" s="6" t="str">
        <f t="shared" si="1"/>
        <v>明尼苏达州</v>
      </c>
      <c r="E25" s="14">
        <v>8.4624115411730649</v>
      </c>
      <c r="F25" s="14">
        <v>72.813234727273468</v>
      </c>
      <c r="G25" s="14">
        <v>65.937528347053103</v>
      </c>
      <c r="H25" s="14">
        <v>28.259452596710567</v>
      </c>
      <c r="I25" s="14">
        <v>9.2175060883258109</v>
      </c>
      <c r="J25" s="14">
        <v>74.291057270590201</v>
      </c>
      <c r="K25" s="14">
        <v>57.507799539605578</v>
      </c>
      <c r="L25" s="14">
        <v>54.54104906952594</v>
      </c>
      <c r="M25" s="14">
        <v>99.010804157810099</v>
      </c>
      <c r="N25" s="14">
        <v>23.463817819033729</v>
      </c>
      <c r="O25" s="14">
        <v>18.985004521614059</v>
      </c>
      <c r="P25" s="14">
        <v>77.487332021009337</v>
      </c>
      <c r="Q25" s="14">
        <v>45.866783324266734</v>
      </c>
      <c r="R25" s="14">
        <v>95.526925885517599</v>
      </c>
      <c r="S25" s="14">
        <v>53.660961256335128</v>
      </c>
      <c r="T25" s="14">
        <v>62.595025585349575</v>
      </c>
      <c r="U25" s="14">
        <v>21.973304862444422</v>
      </c>
      <c r="V25" s="14">
        <v>48.995856091763422</v>
      </c>
      <c r="W25" s="14">
        <v>95.28325668071723</v>
      </c>
      <c r="X25" s="14">
        <v>46.949572317622554</v>
      </c>
      <c r="Y25" s="14">
        <v>45.357942014497198</v>
      </c>
      <c r="Z25" s="14">
        <v>28.895156449189262</v>
      </c>
      <c r="AA25" s="14">
        <v>5.2371515132571655</v>
      </c>
      <c r="AB25" s="14">
        <v>39.82049358436808</v>
      </c>
      <c r="AC25" s="14">
        <v>89.586825965544065</v>
      </c>
      <c r="AD25" s="14">
        <v>95.317160823118186</v>
      </c>
      <c r="AE25" s="14">
        <v>10.491965970345607</v>
      </c>
      <c r="AF25" s="14">
        <v>45.803640425728553</v>
      </c>
      <c r="AG25" s="14">
        <v>80.767592535088653</v>
      </c>
      <c r="AH25" s="14">
        <v>63.716732156259084</v>
      </c>
      <c r="AI25" s="14">
        <v>43.166180110931371</v>
      </c>
      <c r="AJ25" s="14">
        <v>32.000976791542691</v>
      </c>
      <c r="AK25" s="14">
        <v>29.49280482189107</v>
      </c>
      <c r="AL25" s="14">
        <v>55.789141860977495</v>
      </c>
      <c r="AM25" s="14">
        <v>44.40297399256238</v>
      </c>
      <c r="AN25" s="14">
        <v>78.59870703169149</v>
      </c>
      <c r="AO25" s="14">
        <v>45.718440642323145</v>
      </c>
      <c r="AP25" s="14">
        <v>38.5847919063972</v>
      </c>
      <c r="AQ25" s="14">
        <v>15.518098860113028</v>
      </c>
      <c r="AR25" s="14">
        <v>6.8067477660086801</v>
      </c>
      <c r="AS25" s="14">
        <v>8.7677149413298405</v>
      </c>
      <c r="AT25" s="14">
        <v>11.997445161489239</v>
      </c>
      <c r="AU25" s="14">
        <v>1.658107140201337</v>
      </c>
      <c r="AV25" s="14">
        <v>98.834665181675618</v>
      </c>
      <c r="AW25" s="14">
        <v>61.306581712394738</v>
      </c>
      <c r="AX25" s="14">
        <v>57.419089514932317</v>
      </c>
      <c r="AY25" s="14">
        <v>25.647114339728482</v>
      </c>
      <c r="AZ25" s="14">
        <v>52.518295389206834</v>
      </c>
      <c r="BA25" s="14">
        <v>82.900814203419344</v>
      </c>
      <c r="BB25" s="14">
        <v>86.581922106744031</v>
      </c>
      <c r="BC25" s="14">
        <v>14.318834329174434</v>
      </c>
      <c r="BD25" s="14">
        <v>56.408037405310282</v>
      </c>
    </row>
    <row r="26" spans="1:56" x14ac:dyDescent="0.3">
      <c r="A26" s="19">
        <v>2014</v>
      </c>
      <c r="B26" s="8" t="s">
        <v>50</v>
      </c>
      <c r="C26" s="8" t="str">
        <f t="shared" si="0"/>
        <v>MS</v>
      </c>
      <c r="D26" s="8" t="str">
        <f t="shared" si="1"/>
        <v>密西西比州</v>
      </c>
      <c r="E26" s="15">
        <v>42.812936574085413</v>
      </c>
      <c r="F26" s="15">
        <v>71.581521703564235</v>
      </c>
      <c r="G26" s="15">
        <v>30.639712463707724</v>
      </c>
      <c r="H26" s="15">
        <v>71.029774795183073</v>
      </c>
      <c r="I26" s="15">
        <v>19.453662769082147</v>
      </c>
      <c r="J26" s="15">
        <v>69.487413365691935</v>
      </c>
      <c r="K26" s="15">
        <v>13.613206398060008</v>
      </c>
      <c r="L26" s="15">
        <v>98.147154622106953</v>
      </c>
      <c r="M26" s="15">
        <v>85.78468150894119</v>
      </c>
      <c r="N26" s="15">
        <v>62.009454166518331</v>
      </c>
      <c r="O26" s="15">
        <v>63.773243593764015</v>
      </c>
      <c r="P26" s="15">
        <v>88.839016934422872</v>
      </c>
      <c r="Q26" s="15">
        <v>14.084510071280675</v>
      </c>
      <c r="R26" s="15">
        <v>24.275514699024548</v>
      </c>
      <c r="S26" s="15">
        <v>79.902716098828392</v>
      </c>
      <c r="T26" s="15">
        <v>0.22245840517605142</v>
      </c>
      <c r="U26" s="15">
        <v>9.7637311183714441</v>
      </c>
      <c r="V26" s="15">
        <v>77.159108443115031</v>
      </c>
      <c r="W26" s="15">
        <v>87.68777746834192</v>
      </c>
      <c r="X26" s="15">
        <v>96.593096978341592</v>
      </c>
      <c r="Y26" s="15">
        <v>36.732732389088582</v>
      </c>
      <c r="Z26" s="15">
        <v>98.436086379218935</v>
      </c>
      <c r="AA26" s="15">
        <v>19.937691874426765</v>
      </c>
      <c r="AB26" s="15">
        <v>92.174348103301483</v>
      </c>
      <c r="AC26" s="15">
        <v>2.7505077756637686</v>
      </c>
      <c r="AD26" s="15">
        <v>28.18094085229399</v>
      </c>
      <c r="AE26" s="15">
        <v>79.618319494015935</v>
      </c>
      <c r="AF26" s="15">
        <v>72.654582684524712</v>
      </c>
      <c r="AG26" s="15">
        <v>88.231178482487621</v>
      </c>
      <c r="AH26" s="15">
        <v>72.758311131781781</v>
      </c>
      <c r="AI26" s="15">
        <v>98.912153000295262</v>
      </c>
      <c r="AJ26" s="15">
        <v>54.0505375345518</v>
      </c>
      <c r="AK26" s="15">
        <v>54.720860961648867</v>
      </c>
      <c r="AL26" s="15">
        <v>52.256621844953997</v>
      </c>
      <c r="AM26" s="15">
        <v>75.641459479127334</v>
      </c>
      <c r="AN26" s="15">
        <v>36.915579093116001</v>
      </c>
      <c r="AO26" s="15">
        <v>45.000629080610885</v>
      </c>
      <c r="AP26" s="15">
        <v>65.460602482291904</v>
      </c>
      <c r="AQ26" s="15">
        <v>43.52873174583911</v>
      </c>
      <c r="AR26" s="15">
        <v>40.412704842014023</v>
      </c>
      <c r="AS26" s="15">
        <v>53.642394151844421</v>
      </c>
      <c r="AT26" s="15">
        <v>20.824890192180725</v>
      </c>
      <c r="AU26" s="15">
        <v>33.275243882585251</v>
      </c>
      <c r="AV26" s="15">
        <v>22.279856242926677</v>
      </c>
      <c r="AW26" s="15">
        <v>95.344111474637231</v>
      </c>
      <c r="AX26" s="15">
        <v>28.267423775967327</v>
      </c>
      <c r="AY26" s="15">
        <v>40.619727896564648</v>
      </c>
      <c r="AZ26" s="15">
        <v>29.734892087697041</v>
      </c>
      <c r="BA26" s="15">
        <v>53.94706581724256</v>
      </c>
      <c r="BB26" s="15">
        <v>32.758691636190676</v>
      </c>
      <c r="BC26" s="15">
        <v>16.442833123363609</v>
      </c>
      <c r="BD26" s="15">
        <v>93.483081416394853</v>
      </c>
    </row>
    <row r="27" spans="1:56" x14ac:dyDescent="0.3">
      <c r="A27" s="18">
        <v>2014</v>
      </c>
      <c r="B27" s="6" t="s">
        <v>52</v>
      </c>
      <c r="C27" s="6" t="str">
        <f t="shared" si="0"/>
        <v>MO</v>
      </c>
      <c r="D27" s="6" t="str">
        <f t="shared" si="1"/>
        <v>密苏里州</v>
      </c>
      <c r="E27" s="14">
        <v>14.578521224413766</v>
      </c>
      <c r="F27" s="14">
        <v>66.576306426219716</v>
      </c>
      <c r="G27" s="14">
        <v>15.120749838288749</v>
      </c>
      <c r="H27" s="14">
        <v>13.193738219017314</v>
      </c>
      <c r="I27" s="14">
        <v>53.214824387131962</v>
      </c>
      <c r="J27" s="14">
        <v>86.705983945083261</v>
      </c>
      <c r="K27" s="14">
        <v>42.792440241801863</v>
      </c>
      <c r="L27" s="14">
        <v>83.175600263469434</v>
      </c>
      <c r="M27" s="14">
        <v>74.396126292990829</v>
      </c>
      <c r="N27" s="14">
        <v>31.676457107586074</v>
      </c>
      <c r="O27" s="14">
        <v>91.706888161503358</v>
      </c>
      <c r="P27" s="14">
        <v>98.711457852179265</v>
      </c>
      <c r="Q27" s="14">
        <v>19.439494733392404</v>
      </c>
      <c r="R27" s="14">
        <v>24.41278789312581</v>
      </c>
      <c r="S27" s="14">
        <v>4.0594379850481204</v>
      </c>
      <c r="T27" s="14">
        <v>54.071690702222021</v>
      </c>
      <c r="U27" s="14">
        <v>51.71655763801035</v>
      </c>
      <c r="V27" s="14">
        <v>9.8752753507942987</v>
      </c>
      <c r="W27" s="14">
        <v>18.161758109697622</v>
      </c>
      <c r="X27" s="14">
        <v>47.943303254030269</v>
      </c>
      <c r="Y27" s="14">
        <v>26.041871416438546</v>
      </c>
      <c r="Z27" s="14">
        <v>48.21489037563169</v>
      </c>
      <c r="AA27" s="14">
        <v>49.637407452037273</v>
      </c>
      <c r="AB27" s="14">
        <v>87.017099482010906</v>
      </c>
      <c r="AC27" s="14">
        <v>14.524313262847832</v>
      </c>
      <c r="AD27" s="14">
        <v>86.092158194059522</v>
      </c>
      <c r="AE27" s="14">
        <v>95.064148595923641</v>
      </c>
      <c r="AF27" s="14">
        <v>95.831778185464827</v>
      </c>
      <c r="AG27" s="14">
        <v>66.391181615391133</v>
      </c>
      <c r="AH27" s="14">
        <v>1.7329278450816665</v>
      </c>
      <c r="AI27" s="14">
        <v>49.23700151300482</v>
      </c>
      <c r="AJ27" s="14">
        <v>88.053855618336684</v>
      </c>
      <c r="AK27" s="14">
        <v>2.5252855363522508</v>
      </c>
      <c r="AL27" s="14">
        <v>90.938368027747586</v>
      </c>
      <c r="AM27" s="14">
        <v>52.225358361142661</v>
      </c>
      <c r="AN27" s="14">
        <v>53.803982858453082</v>
      </c>
      <c r="AO27" s="14">
        <v>60.868807336386219</v>
      </c>
      <c r="AP27" s="14">
        <v>61.007966121431053</v>
      </c>
      <c r="AQ27" s="14">
        <v>67.710377189455031</v>
      </c>
      <c r="AR27" s="14">
        <v>52.405620529723684</v>
      </c>
      <c r="AS27" s="14">
        <v>90.81900908006439</v>
      </c>
      <c r="AT27" s="14">
        <v>94.75475538522754</v>
      </c>
      <c r="AU27" s="14">
        <v>23.469839519169465</v>
      </c>
      <c r="AV27" s="14">
        <v>1.0812038040191374</v>
      </c>
      <c r="AW27" s="14">
        <v>32.152552622907237</v>
      </c>
      <c r="AX27" s="14">
        <v>29.662463796394643</v>
      </c>
      <c r="AY27" s="14">
        <v>35.260368402837059</v>
      </c>
      <c r="AZ27" s="14">
        <v>81.019270223087403</v>
      </c>
      <c r="BA27" s="14">
        <v>4.8071153007447132</v>
      </c>
      <c r="BB27" s="14">
        <v>59.750981017729387</v>
      </c>
      <c r="BC27" s="14">
        <v>55.764895276713212</v>
      </c>
      <c r="BD27" s="14">
        <v>7.8722860312706917</v>
      </c>
    </row>
    <row r="28" spans="1:56" x14ac:dyDescent="0.3">
      <c r="A28" s="19">
        <v>2014</v>
      </c>
      <c r="B28" s="8" t="s">
        <v>54</v>
      </c>
      <c r="C28" s="8" t="str">
        <f t="shared" si="0"/>
        <v>MT</v>
      </c>
      <c r="D28" s="8" t="str">
        <f t="shared" si="1"/>
        <v>蒙大拿</v>
      </c>
      <c r="E28" s="15">
        <v>15.207190083616329</v>
      </c>
      <c r="F28" s="15">
        <v>3.4951488163609046</v>
      </c>
      <c r="G28" s="15">
        <v>58.276217269687535</v>
      </c>
      <c r="H28" s="15">
        <v>75.234220140584924</v>
      </c>
      <c r="I28" s="15">
        <v>49.011753762318456</v>
      </c>
      <c r="J28" s="15">
        <v>84.034099017051247</v>
      </c>
      <c r="K28" s="15">
        <v>14.381642112865167</v>
      </c>
      <c r="L28" s="15">
        <v>32.750838962622922</v>
      </c>
      <c r="M28" s="15">
        <v>45.368918602126676</v>
      </c>
      <c r="N28" s="15">
        <v>50.720728684826014</v>
      </c>
      <c r="O28" s="15">
        <v>78.359249053051343</v>
      </c>
      <c r="P28" s="15">
        <v>16.063740944447279</v>
      </c>
      <c r="Q28" s="15">
        <v>50.267640026894114</v>
      </c>
      <c r="R28" s="15">
        <v>3.6311193870671055</v>
      </c>
      <c r="S28" s="15">
        <v>34.062183707198237</v>
      </c>
      <c r="T28" s="15">
        <v>85.125901711322811</v>
      </c>
      <c r="U28" s="15">
        <v>68.260046236417438</v>
      </c>
      <c r="V28" s="15">
        <v>57.933903883541248</v>
      </c>
      <c r="W28" s="15">
        <v>46.639604376463808</v>
      </c>
      <c r="X28" s="15">
        <v>24.018034419277058</v>
      </c>
      <c r="Y28" s="15">
        <v>61.493643246153837</v>
      </c>
      <c r="Z28" s="15">
        <v>15.274837618811565</v>
      </c>
      <c r="AA28" s="15">
        <v>33.168993707319075</v>
      </c>
      <c r="AB28" s="15">
        <v>10.599583174753679</v>
      </c>
      <c r="AC28" s="15">
        <v>2.1719042595807703</v>
      </c>
      <c r="AD28" s="15">
        <v>25.082561270507487</v>
      </c>
      <c r="AE28" s="15">
        <v>70.334795839278286</v>
      </c>
      <c r="AF28" s="15">
        <v>79.046826099856318</v>
      </c>
      <c r="AG28" s="15">
        <v>38.849927386464714</v>
      </c>
      <c r="AH28" s="15">
        <v>11.405638383292171</v>
      </c>
      <c r="AI28" s="15">
        <v>50.449975043026171</v>
      </c>
      <c r="AJ28" s="15">
        <v>50.255673415762182</v>
      </c>
      <c r="AK28" s="15">
        <v>6.8966581087666068</v>
      </c>
      <c r="AL28" s="15">
        <v>97.580315264118283</v>
      </c>
      <c r="AM28" s="15">
        <v>40.498446732608137</v>
      </c>
      <c r="AN28" s="15">
        <v>37.815142035678541</v>
      </c>
      <c r="AO28" s="15">
        <v>90.708438973589537</v>
      </c>
      <c r="AP28" s="15">
        <v>42.331673983636207</v>
      </c>
      <c r="AQ28" s="15">
        <v>18.598486003532887</v>
      </c>
      <c r="AR28" s="15">
        <v>90.166351235226898</v>
      </c>
      <c r="AS28" s="15">
        <v>73.012556089054087</v>
      </c>
      <c r="AT28" s="15">
        <v>93.581765609940675</v>
      </c>
      <c r="AU28" s="15">
        <v>60.147238853872956</v>
      </c>
      <c r="AV28" s="15">
        <v>43.701779372276825</v>
      </c>
      <c r="AW28" s="15">
        <v>10.220797476881183</v>
      </c>
      <c r="AX28" s="15">
        <v>61.120699074980024</v>
      </c>
      <c r="AY28" s="15">
        <v>62.149721724063781</v>
      </c>
      <c r="AZ28" s="15">
        <v>71.821841887891253</v>
      </c>
      <c r="BA28" s="15">
        <v>32.456692292794841</v>
      </c>
      <c r="BB28" s="15">
        <v>15.264596208782743</v>
      </c>
      <c r="BC28" s="15">
        <v>87.824377196006154</v>
      </c>
      <c r="BD28" s="15">
        <v>98.01715926570489</v>
      </c>
    </row>
    <row r="29" spans="1:56" x14ac:dyDescent="0.3">
      <c r="A29" s="18">
        <v>2014</v>
      </c>
      <c r="B29" s="6" t="s">
        <v>56</v>
      </c>
      <c r="C29" s="6" t="str">
        <f t="shared" si="0"/>
        <v>NE</v>
      </c>
      <c r="D29" s="6" t="str">
        <f t="shared" si="1"/>
        <v>内布拉斯加州</v>
      </c>
      <c r="E29" s="14">
        <v>60.52066859687352</v>
      </c>
      <c r="F29" s="14">
        <v>64.725255245618769</v>
      </c>
      <c r="G29" s="14">
        <v>50.473953582904841</v>
      </c>
      <c r="H29" s="14">
        <v>88.387189871393062</v>
      </c>
      <c r="I29" s="14">
        <v>13.372784825483109</v>
      </c>
      <c r="J29" s="14">
        <v>52.688740280463328</v>
      </c>
      <c r="K29" s="14">
        <v>82.988866650730756</v>
      </c>
      <c r="L29" s="14">
        <v>8.7230462663630881</v>
      </c>
      <c r="M29" s="14">
        <v>84.542725763626251</v>
      </c>
      <c r="N29" s="14">
        <v>32.572294267296954</v>
      </c>
      <c r="O29" s="14">
        <v>92.881174798129507</v>
      </c>
      <c r="P29" s="14">
        <v>91.291676266100097</v>
      </c>
      <c r="Q29" s="14">
        <v>3.8265785525666285</v>
      </c>
      <c r="R29" s="14">
        <v>22.57054455839269</v>
      </c>
      <c r="S29" s="14">
        <v>52.14202922519128</v>
      </c>
      <c r="T29" s="14">
        <v>7.7354500179717345</v>
      </c>
      <c r="U29" s="14">
        <v>68.551392027642564</v>
      </c>
      <c r="V29" s="14">
        <v>78.613509705671831</v>
      </c>
      <c r="W29" s="14">
        <v>18.060914126872596</v>
      </c>
      <c r="X29" s="14">
        <v>63.353368043055646</v>
      </c>
      <c r="Y29" s="14">
        <v>82.313639574042639</v>
      </c>
      <c r="Z29" s="14">
        <v>18.522100437654665</v>
      </c>
      <c r="AA29" s="14">
        <v>77.575116212018685</v>
      </c>
      <c r="AB29" s="14">
        <v>20.431909030546681</v>
      </c>
      <c r="AC29" s="14">
        <v>11.790768899864068</v>
      </c>
      <c r="AD29" s="14">
        <v>26.922509045817968</v>
      </c>
      <c r="AE29" s="14">
        <v>31.096273125733887</v>
      </c>
      <c r="AF29" s="14">
        <v>56.108128904974443</v>
      </c>
      <c r="AG29" s="14">
        <v>80.125919670137307</v>
      </c>
      <c r="AH29" s="14">
        <v>8.4502911343962044</v>
      </c>
      <c r="AI29" s="14">
        <v>19.431390496818434</v>
      </c>
      <c r="AJ29" s="14">
        <v>33.373779379293737</v>
      </c>
      <c r="AK29" s="14">
        <v>60.665704575506787</v>
      </c>
      <c r="AL29" s="14">
        <v>96.014608996863672</v>
      </c>
      <c r="AM29" s="14">
        <v>3.7419384820317814</v>
      </c>
      <c r="AN29" s="14">
        <v>11.027490160159614</v>
      </c>
      <c r="AO29" s="14">
        <v>87.589085293267672</v>
      </c>
      <c r="AP29" s="14">
        <v>65.388086388200676</v>
      </c>
      <c r="AQ29" s="14">
        <v>71.347139717219832</v>
      </c>
      <c r="AR29" s="14">
        <v>32.834042573376131</v>
      </c>
      <c r="AS29" s="14">
        <v>28.200851748382437</v>
      </c>
      <c r="AT29" s="14">
        <v>62.225944207324112</v>
      </c>
      <c r="AU29" s="14">
        <v>44.560768428167016</v>
      </c>
      <c r="AV29" s="14">
        <v>43.028652072971298</v>
      </c>
      <c r="AW29" s="14">
        <v>55.946667770652759</v>
      </c>
      <c r="AX29" s="14">
        <v>27.457924231172537</v>
      </c>
      <c r="AY29" s="14">
        <v>46.887737143005218</v>
      </c>
      <c r="AZ29" s="14">
        <v>13.698484512381325</v>
      </c>
      <c r="BA29" s="14">
        <v>5.5766940599046633</v>
      </c>
      <c r="BB29" s="14">
        <v>27.472920100533848</v>
      </c>
      <c r="BC29" s="14">
        <v>68.416314271807551</v>
      </c>
      <c r="BD29" s="14">
        <v>32.377418676882399</v>
      </c>
    </row>
    <row r="30" spans="1:56" x14ac:dyDescent="0.3">
      <c r="A30" s="19">
        <v>2014</v>
      </c>
      <c r="B30" s="8" t="s">
        <v>58</v>
      </c>
      <c r="C30" s="8" t="str">
        <f t="shared" si="0"/>
        <v>NV</v>
      </c>
      <c r="D30" s="8" t="str">
        <f t="shared" si="1"/>
        <v>内华达</v>
      </c>
      <c r="E30" s="15">
        <v>64.411638416297848</v>
      </c>
      <c r="F30" s="15">
        <v>8.7633756235505516</v>
      </c>
      <c r="G30" s="15">
        <v>32.521717184462481</v>
      </c>
      <c r="H30" s="15">
        <v>7.4916292692423276</v>
      </c>
      <c r="I30" s="15">
        <v>50.019885355486579</v>
      </c>
      <c r="J30" s="15">
        <v>15.698002092016205</v>
      </c>
      <c r="K30" s="15">
        <v>10.039805367100085</v>
      </c>
      <c r="L30" s="15">
        <v>6.5069097842447743</v>
      </c>
      <c r="M30" s="15">
        <v>69.052061563553181</v>
      </c>
      <c r="N30" s="15">
        <v>62.356782268827985</v>
      </c>
      <c r="O30" s="15">
        <v>12.976898262705994</v>
      </c>
      <c r="P30" s="15">
        <v>63.952081452815143</v>
      </c>
      <c r="Q30" s="15">
        <v>52.46418627587002</v>
      </c>
      <c r="R30" s="15">
        <v>66.199805785768561</v>
      </c>
      <c r="S30" s="15">
        <v>34.788456418053912</v>
      </c>
      <c r="T30" s="15">
        <v>73.102136022539909</v>
      </c>
      <c r="U30" s="15">
        <v>96.597470339270913</v>
      </c>
      <c r="V30" s="15">
        <v>4.1815032430074783</v>
      </c>
      <c r="W30" s="15">
        <v>41.720824264504209</v>
      </c>
      <c r="X30" s="15">
        <v>74.222703289041391</v>
      </c>
      <c r="Y30" s="15">
        <v>70.107429704269464</v>
      </c>
      <c r="Z30" s="15">
        <v>50.249645872526557</v>
      </c>
      <c r="AA30" s="15">
        <v>72.713852719185056</v>
      </c>
      <c r="AB30" s="15">
        <v>30.553744114110405</v>
      </c>
      <c r="AC30" s="15">
        <v>5.2871805755504315</v>
      </c>
      <c r="AD30" s="15">
        <v>33.468952490073924</v>
      </c>
      <c r="AE30" s="15">
        <v>71.445108578441861</v>
      </c>
      <c r="AF30" s="15">
        <v>0.7435041291238953</v>
      </c>
      <c r="AG30" s="15">
        <v>95.366905566322259</v>
      </c>
      <c r="AH30" s="15">
        <v>7.7587234530517302</v>
      </c>
      <c r="AI30" s="15">
        <v>59.298882581160193</v>
      </c>
      <c r="AJ30" s="15">
        <v>57.631302599759081</v>
      </c>
      <c r="AK30" s="15">
        <v>76.158406913319595</v>
      </c>
      <c r="AL30" s="15">
        <v>42.645811956695688</v>
      </c>
      <c r="AM30" s="15">
        <v>94.986801015680399</v>
      </c>
      <c r="AN30" s="15">
        <v>85.459756920327195</v>
      </c>
      <c r="AO30" s="15">
        <v>29.437515936087589</v>
      </c>
      <c r="AP30" s="15">
        <v>59.846876571485161</v>
      </c>
      <c r="AQ30" s="15">
        <v>77.78924005088102</v>
      </c>
      <c r="AR30" s="15">
        <v>49.702434590075782</v>
      </c>
      <c r="AS30" s="15">
        <v>28.433920695933047</v>
      </c>
      <c r="AT30" s="15">
        <v>57.715704851187496</v>
      </c>
      <c r="AU30" s="15">
        <v>45.139512177081855</v>
      </c>
      <c r="AV30" s="15">
        <v>10.025905971315673</v>
      </c>
      <c r="AW30" s="15">
        <v>52.308266127890505</v>
      </c>
      <c r="AX30" s="15">
        <v>15.207094821748957</v>
      </c>
      <c r="AY30" s="15">
        <v>99.693771056150709</v>
      </c>
      <c r="AZ30" s="15">
        <v>38.296943661312085</v>
      </c>
      <c r="BA30" s="15">
        <v>16.943766758179546</v>
      </c>
      <c r="BB30" s="15">
        <v>8.0452221575644032</v>
      </c>
      <c r="BC30" s="15">
        <v>43.455792909359381</v>
      </c>
      <c r="BD30" s="15">
        <v>1.2219433909322119</v>
      </c>
    </row>
    <row r="31" spans="1:56" x14ac:dyDescent="0.3">
      <c r="A31" s="18">
        <v>2014</v>
      </c>
      <c r="B31" s="6" t="s">
        <v>60</v>
      </c>
      <c r="C31" s="6" t="str">
        <f t="shared" si="0"/>
        <v>NH</v>
      </c>
      <c r="D31" s="6" t="str">
        <f t="shared" si="1"/>
        <v>新汉普郡</v>
      </c>
      <c r="E31" s="14">
        <v>11.320696358476312</v>
      </c>
      <c r="F31" s="14">
        <v>95.963680657477795</v>
      </c>
      <c r="G31" s="14">
        <v>11.341844904707532</v>
      </c>
      <c r="H31" s="14">
        <v>7.7504069428504296</v>
      </c>
      <c r="I31" s="14">
        <v>1.9328208086806575</v>
      </c>
      <c r="J31" s="14">
        <v>74.463721840365849</v>
      </c>
      <c r="K31" s="14">
        <v>19.536648561690317</v>
      </c>
      <c r="L31" s="14">
        <v>33.714770253156978</v>
      </c>
      <c r="M31" s="14">
        <v>3.8593648667421321</v>
      </c>
      <c r="N31" s="14">
        <v>13.147637370688681</v>
      </c>
      <c r="O31" s="14">
        <v>58.709583504290173</v>
      </c>
      <c r="P31" s="14">
        <v>70.898570912608406</v>
      </c>
      <c r="Q31" s="14">
        <v>63.164755493697456</v>
      </c>
      <c r="R31" s="14">
        <v>6.8277868425378196</v>
      </c>
      <c r="S31" s="14">
        <v>61.57549682645103</v>
      </c>
      <c r="T31" s="14">
        <v>93.958109910407345</v>
      </c>
      <c r="U31" s="14">
        <v>6.8583673740542199</v>
      </c>
      <c r="V31" s="14">
        <v>4.1335032373021718</v>
      </c>
      <c r="W31" s="14">
        <v>44.59452418505704</v>
      </c>
      <c r="X31" s="14">
        <v>51.603359131462923</v>
      </c>
      <c r="Y31" s="14">
        <v>81.234309903518664</v>
      </c>
      <c r="Z31" s="14">
        <v>63.691579304301762</v>
      </c>
      <c r="AA31" s="14">
        <v>31.072462324432347</v>
      </c>
      <c r="AB31" s="14">
        <v>67.012780929148278</v>
      </c>
      <c r="AC31" s="14">
        <v>28.718329688368584</v>
      </c>
      <c r="AD31" s="14">
        <v>27.370745225495575</v>
      </c>
      <c r="AE31" s="14">
        <v>90.310110231918586</v>
      </c>
      <c r="AF31" s="14">
        <v>60.663297827936432</v>
      </c>
      <c r="AG31" s="14">
        <v>14.249171962152275</v>
      </c>
      <c r="AH31" s="14">
        <v>55.495031176822998</v>
      </c>
      <c r="AI31" s="14">
        <v>32.716110378414328</v>
      </c>
      <c r="AJ31" s="14">
        <v>21.610061250797497</v>
      </c>
      <c r="AK31" s="14">
        <v>40.323338689476721</v>
      </c>
      <c r="AL31" s="14">
        <v>60.202571962832053</v>
      </c>
      <c r="AM31" s="14">
        <v>56.526935354565154</v>
      </c>
      <c r="AN31" s="14">
        <v>57.737080227593552</v>
      </c>
      <c r="AO31" s="14">
        <v>39.639911191740154</v>
      </c>
      <c r="AP31" s="14">
        <v>96.119572787102783</v>
      </c>
      <c r="AQ31" s="14">
        <v>71.526107738733785</v>
      </c>
      <c r="AR31" s="14">
        <v>39.353092418137294</v>
      </c>
      <c r="AS31" s="14">
        <v>95.426832027700087</v>
      </c>
      <c r="AT31" s="14">
        <v>36.494007225944344</v>
      </c>
      <c r="AU31" s="14">
        <v>90.632851869287009</v>
      </c>
      <c r="AV31" s="14">
        <v>72.631554489828261</v>
      </c>
      <c r="AW31" s="14">
        <v>35.433858463090807</v>
      </c>
      <c r="AX31" s="14">
        <v>58.675256451079875</v>
      </c>
      <c r="AY31" s="14">
        <v>81.904918749238703</v>
      </c>
      <c r="AZ31" s="14">
        <v>86.347883864711676</v>
      </c>
      <c r="BA31" s="14">
        <v>67.026391807766302</v>
      </c>
      <c r="BB31" s="14">
        <v>35.750583465413669</v>
      </c>
      <c r="BC31" s="14">
        <v>65.775874768641444</v>
      </c>
      <c r="BD31" s="14">
        <v>85.684149895819289</v>
      </c>
    </row>
    <row r="32" spans="1:56" x14ac:dyDescent="0.3">
      <c r="A32" s="19">
        <v>2014</v>
      </c>
      <c r="B32" s="8" t="s">
        <v>62</v>
      </c>
      <c r="C32" s="8" t="str">
        <f t="shared" si="0"/>
        <v>NJ</v>
      </c>
      <c r="D32" s="8" t="str">
        <f t="shared" si="1"/>
        <v>新泽西</v>
      </c>
      <c r="E32" s="15">
        <v>15.691793881213844</v>
      </c>
      <c r="F32" s="15">
        <v>16.265143433082198</v>
      </c>
      <c r="G32" s="15">
        <v>55.364090150995516</v>
      </c>
      <c r="H32" s="15">
        <v>56.167625837071576</v>
      </c>
      <c r="I32" s="15">
        <v>95.623701354236701</v>
      </c>
      <c r="J32" s="15">
        <v>26.171129305038466</v>
      </c>
      <c r="K32" s="15">
        <v>4.9164187118946661</v>
      </c>
      <c r="L32" s="15">
        <v>12.758727894945377</v>
      </c>
      <c r="M32" s="15">
        <v>20.791074253069254</v>
      </c>
      <c r="N32" s="15">
        <v>59.254194491012399</v>
      </c>
      <c r="O32" s="15">
        <v>56.457191556655161</v>
      </c>
      <c r="P32" s="15">
        <v>58.383496524939481</v>
      </c>
      <c r="Q32" s="15">
        <v>84.33539399421683</v>
      </c>
      <c r="R32" s="15">
        <v>0.80018730284402428</v>
      </c>
      <c r="S32" s="15">
        <v>43.134770351793215</v>
      </c>
      <c r="T32" s="15">
        <v>89.493105968189738</v>
      </c>
      <c r="U32" s="15">
        <v>44.981406203417642</v>
      </c>
      <c r="V32" s="15">
        <v>48.882322601374653</v>
      </c>
      <c r="W32" s="15">
        <v>65.63857433206438</v>
      </c>
      <c r="X32" s="15">
        <v>97.417199254295312</v>
      </c>
      <c r="Y32" s="15">
        <v>64.309779609644551</v>
      </c>
      <c r="Z32" s="15">
        <v>26.274587391841443</v>
      </c>
      <c r="AA32" s="15">
        <v>46.95053203585784</v>
      </c>
      <c r="AB32" s="15">
        <v>27.597526847593855</v>
      </c>
      <c r="AC32" s="15">
        <v>38.848607757244515</v>
      </c>
      <c r="AD32" s="15">
        <v>48.505726939761864</v>
      </c>
      <c r="AE32" s="15">
        <v>57.452935472334453</v>
      </c>
      <c r="AF32" s="15">
        <v>25.250460505814498</v>
      </c>
      <c r="AG32" s="15">
        <v>67.758117748668838</v>
      </c>
      <c r="AH32" s="15">
        <v>40.076939494093843</v>
      </c>
      <c r="AI32" s="15">
        <v>11.492531379215221</v>
      </c>
      <c r="AJ32" s="15">
        <v>67.39608228607635</v>
      </c>
      <c r="AK32" s="15">
        <v>92.606504441545596</v>
      </c>
      <c r="AL32" s="15">
        <v>2.5424767458900432</v>
      </c>
      <c r="AM32" s="15">
        <v>66.461444073094526</v>
      </c>
      <c r="AN32" s="15">
        <v>79.62455184019089</v>
      </c>
      <c r="AO32" s="15">
        <v>29.09026727829097</v>
      </c>
      <c r="AP32" s="15">
        <v>17.002612927064831</v>
      </c>
      <c r="AQ32" s="15">
        <v>35.940021096062814</v>
      </c>
      <c r="AR32" s="15">
        <v>67.097405944702743</v>
      </c>
      <c r="AS32" s="15">
        <v>68.269832260391624</v>
      </c>
      <c r="AT32" s="15">
        <v>74.950310717185417</v>
      </c>
      <c r="AU32" s="15">
        <v>31.977364042967217</v>
      </c>
      <c r="AV32" s="15">
        <v>48.296668395754097</v>
      </c>
      <c r="AW32" s="15">
        <v>95.195611020261993</v>
      </c>
      <c r="AX32" s="15">
        <v>64.235213033303339</v>
      </c>
      <c r="AY32" s="15">
        <v>41.680386174614192</v>
      </c>
      <c r="AZ32" s="15">
        <v>51.341517718403587</v>
      </c>
      <c r="BA32" s="15">
        <v>88.116615007049987</v>
      </c>
      <c r="BB32" s="15">
        <v>27.666131413068996</v>
      </c>
      <c r="BC32" s="15">
        <v>11.466226933190949</v>
      </c>
      <c r="BD32" s="15">
        <v>55.495585460205142</v>
      </c>
    </row>
    <row r="33" spans="1:56" x14ac:dyDescent="0.3">
      <c r="A33" s="18">
        <v>2014</v>
      </c>
      <c r="B33" s="6" t="s">
        <v>64</v>
      </c>
      <c r="C33" s="6" t="str">
        <f t="shared" si="0"/>
        <v>NM</v>
      </c>
      <c r="D33" s="6" t="str">
        <f t="shared" si="1"/>
        <v>新墨西哥</v>
      </c>
      <c r="E33" s="14">
        <v>48.308880755851177</v>
      </c>
      <c r="F33" s="14">
        <v>44.997804496664841</v>
      </c>
      <c r="G33" s="14">
        <v>79.941521755885077</v>
      </c>
      <c r="H33" s="14">
        <v>70.76416499372813</v>
      </c>
      <c r="I33" s="14">
        <v>19.312974695695917</v>
      </c>
      <c r="J33" s="14">
        <v>7.1986429084281429</v>
      </c>
      <c r="K33" s="14">
        <v>70.910012621839385</v>
      </c>
      <c r="L33" s="14">
        <v>35.596562943719256</v>
      </c>
      <c r="M33" s="14">
        <v>36.234202675421798</v>
      </c>
      <c r="N33" s="14">
        <v>31.191878276590412</v>
      </c>
      <c r="O33" s="14">
        <v>96.885351185551343</v>
      </c>
      <c r="P33" s="14">
        <v>62.763153192576112</v>
      </c>
      <c r="Q33" s="14">
        <v>16.914428482816788</v>
      </c>
      <c r="R33" s="14">
        <v>19.537712009804153</v>
      </c>
      <c r="S33" s="14">
        <v>63.246912997821589</v>
      </c>
      <c r="T33" s="14">
        <v>86.004431802228453</v>
      </c>
      <c r="U33" s="14">
        <v>33.754650963859</v>
      </c>
      <c r="V33" s="14">
        <v>87.578068013595683</v>
      </c>
      <c r="W33" s="14">
        <v>30.84868435351067</v>
      </c>
      <c r="X33" s="14">
        <v>82.689491735874171</v>
      </c>
      <c r="Y33" s="14">
        <v>40.128524535019274</v>
      </c>
      <c r="Z33" s="14">
        <v>87.976182337571515</v>
      </c>
      <c r="AA33" s="14">
        <v>29.50205533522513</v>
      </c>
      <c r="AB33" s="14">
        <v>18.409680468094646</v>
      </c>
      <c r="AC33" s="14">
        <v>84.003611463056899</v>
      </c>
      <c r="AD33" s="14">
        <v>65.176694488804472</v>
      </c>
      <c r="AE33" s="14">
        <v>93.530111618325179</v>
      </c>
      <c r="AF33" s="14">
        <v>11.361148573739676</v>
      </c>
      <c r="AG33" s="14">
        <v>78.972935126355964</v>
      </c>
      <c r="AH33" s="14">
        <v>65.552682284206981</v>
      </c>
      <c r="AI33" s="14">
        <v>80.033071038356709</v>
      </c>
      <c r="AJ33" s="14">
        <v>62.945681064244916</v>
      </c>
      <c r="AK33" s="14">
        <v>86.558261680830867</v>
      </c>
      <c r="AL33" s="14">
        <v>79.377188085941725</v>
      </c>
      <c r="AM33" s="14">
        <v>51.391754466544548</v>
      </c>
      <c r="AN33" s="14">
        <v>32.941749388940565</v>
      </c>
      <c r="AO33" s="14">
        <v>73.259172556358536</v>
      </c>
      <c r="AP33" s="14">
        <v>0.7534248058297055</v>
      </c>
      <c r="AQ33" s="14">
        <v>26.912445466680158</v>
      </c>
      <c r="AR33" s="14">
        <v>96.005242302277694</v>
      </c>
      <c r="AS33" s="14">
        <v>89.625398884785056</v>
      </c>
      <c r="AT33" s="14">
        <v>96.795832183479732</v>
      </c>
      <c r="AU33" s="14">
        <v>7.0084112987237042</v>
      </c>
      <c r="AV33" s="14">
        <v>32.215062375626246</v>
      </c>
      <c r="AW33" s="14">
        <v>95.787069717839259</v>
      </c>
      <c r="AX33" s="14">
        <v>13.454820372613231</v>
      </c>
      <c r="AY33" s="14">
        <v>44.808692252616211</v>
      </c>
      <c r="AZ33" s="14">
        <v>68.847864155286459</v>
      </c>
      <c r="BA33" s="14">
        <v>37.094968222144601</v>
      </c>
      <c r="BB33" s="14">
        <v>37.438714771999216</v>
      </c>
      <c r="BC33" s="14">
        <v>43.049356760431593</v>
      </c>
      <c r="BD33" s="14">
        <v>54.580576978680725</v>
      </c>
    </row>
    <row r="34" spans="1:56" x14ac:dyDescent="0.3">
      <c r="A34" s="19">
        <v>2014</v>
      </c>
      <c r="B34" s="8" t="s">
        <v>66</v>
      </c>
      <c r="C34" s="8" t="str">
        <f t="shared" ref="C34:C65" si="2">VLOOKUP(B34,INEXES,2,0)</f>
        <v>NY</v>
      </c>
      <c r="D34" s="8" t="str">
        <f t="shared" ref="D34:D65" si="3">VLOOKUP(B34,INEXES,3,0)</f>
        <v>纽约</v>
      </c>
      <c r="E34" s="15">
        <v>48.958661241294479</v>
      </c>
      <c r="F34" s="15">
        <v>76.49293053636697</v>
      </c>
      <c r="G34" s="15">
        <v>96.926883310145712</v>
      </c>
      <c r="H34" s="15">
        <v>59.556964747417076</v>
      </c>
      <c r="I34" s="15">
        <v>90.74538469122686</v>
      </c>
      <c r="J34" s="15">
        <v>3.5125274804832518</v>
      </c>
      <c r="K34" s="15">
        <v>33.555586284033758</v>
      </c>
      <c r="L34" s="15">
        <v>77.496553425660693</v>
      </c>
      <c r="M34" s="15">
        <v>57.903941796154982</v>
      </c>
      <c r="N34" s="15">
        <v>56.939610607860359</v>
      </c>
      <c r="O34" s="15">
        <v>74.103328412931617</v>
      </c>
      <c r="P34" s="15">
        <v>47.490839102105632</v>
      </c>
      <c r="Q34" s="15">
        <v>23.12549351987262</v>
      </c>
      <c r="R34" s="15">
        <v>70.667406275798569</v>
      </c>
      <c r="S34" s="15">
        <v>69.852890326869058</v>
      </c>
      <c r="T34" s="15">
        <v>41.139520380365944</v>
      </c>
      <c r="U34" s="15">
        <v>29.877794331409724</v>
      </c>
      <c r="V34" s="15">
        <v>13.435638082679958</v>
      </c>
      <c r="W34" s="15">
        <v>31.534411794426788</v>
      </c>
      <c r="X34" s="15">
        <v>75.873914206711916</v>
      </c>
      <c r="Y34" s="15">
        <v>71.810605228107804</v>
      </c>
      <c r="Z34" s="15">
        <v>47.472266082069858</v>
      </c>
      <c r="AA34" s="15">
        <v>30.247502299171469</v>
      </c>
      <c r="AB34" s="15">
        <v>80.71744358148409</v>
      </c>
      <c r="AC34" s="15">
        <v>70.176162400153189</v>
      </c>
      <c r="AD34" s="15">
        <v>81.708403101367139</v>
      </c>
      <c r="AE34" s="15">
        <v>61.701331438953588</v>
      </c>
      <c r="AF34" s="15">
        <v>24.012702822372344</v>
      </c>
      <c r="AG34" s="15">
        <v>82.001854670992429</v>
      </c>
      <c r="AH34" s="15">
        <v>1.8170672979189173</v>
      </c>
      <c r="AI34" s="15">
        <v>87.780172987233783</v>
      </c>
      <c r="AJ34" s="15">
        <v>87.448452147546774</v>
      </c>
      <c r="AK34" s="15">
        <v>44.012739897132633</v>
      </c>
      <c r="AL34" s="15">
        <v>54.207033035476947</v>
      </c>
      <c r="AM34" s="15">
        <v>8.5993662627908307</v>
      </c>
      <c r="AN34" s="15">
        <v>42.268335664244738</v>
      </c>
      <c r="AO34" s="15">
        <v>57.147490799579536</v>
      </c>
      <c r="AP34" s="15">
        <v>64.933801117560236</v>
      </c>
      <c r="AQ34" s="15">
        <v>26.754360824069835</v>
      </c>
      <c r="AR34" s="15">
        <v>38.989822006061615</v>
      </c>
      <c r="AS34" s="15">
        <v>92.750619839443445</v>
      </c>
      <c r="AT34" s="15">
        <v>72.36329074089825</v>
      </c>
      <c r="AU34" s="15">
        <v>31.787806044149335</v>
      </c>
      <c r="AV34" s="15">
        <v>76.826589643923498</v>
      </c>
      <c r="AW34" s="15">
        <v>71.105224829361319</v>
      </c>
      <c r="AX34" s="15">
        <v>42.210834622961947</v>
      </c>
      <c r="AY34" s="15">
        <v>41.457371060379892</v>
      </c>
      <c r="AZ34" s="15">
        <v>28.395602562861356</v>
      </c>
      <c r="BA34" s="15">
        <v>27.108591005456518</v>
      </c>
      <c r="BB34" s="15">
        <v>85.985549689630446</v>
      </c>
      <c r="BC34" s="15">
        <v>19.821383762107438</v>
      </c>
      <c r="BD34" s="15">
        <v>47.831613210045163</v>
      </c>
    </row>
    <row r="35" spans="1:56" x14ac:dyDescent="0.3">
      <c r="A35" s="18">
        <v>2014</v>
      </c>
      <c r="B35" s="6" t="s">
        <v>68</v>
      </c>
      <c r="C35" s="6" t="str">
        <f t="shared" si="2"/>
        <v>NC</v>
      </c>
      <c r="D35" s="6" t="str">
        <f t="shared" si="3"/>
        <v>北卡罗莱纳</v>
      </c>
      <c r="E35" s="14">
        <v>50.632500815818737</v>
      </c>
      <c r="F35" s="14">
        <v>50.065079660487022</v>
      </c>
      <c r="G35" s="14">
        <v>60.739096360028789</v>
      </c>
      <c r="H35" s="14">
        <v>43.999286756357002</v>
      </c>
      <c r="I35" s="14">
        <v>13.507655311244394</v>
      </c>
      <c r="J35" s="14">
        <v>33.537592438174933</v>
      </c>
      <c r="K35" s="14">
        <v>37.095325461303361</v>
      </c>
      <c r="L35" s="14">
        <v>99.008502022768553</v>
      </c>
      <c r="M35" s="14">
        <v>87.248267400514962</v>
      </c>
      <c r="N35" s="14">
        <v>44.764615186432813</v>
      </c>
      <c r="O35" s="14">
        <v>69.777083884789221</v>
      </c>
      <c r="P35" s="14">
        <v>86.058765380178997</v>
      </c>
      <c r="Q35" s="14">
        <v>47.289223143795553</v>
      </c>
      <c r="R35" s="14">
        <v>42.76888536961718</v>
      </c>
      <c r="S35" s="14">
        <v>38.402079942291209</v>
      </c>
      <c r="T35" s="14">
        <v>52.260731078212217</v>
      </c>
      <c r="U35" s="14">
        <v>90.286743494228091</v>
      </c>
      <c r="V35" s="14">
        <v>9.4794092041839519</v>
      </c>
      <c r="W35" s="14">
        <v>19.196777190058434</v>
      </c>
      <c r="X35" s="14">
        <v>87.713104803418943</v>
      </c>
      <c r="Y35" s="14">
        <v>3.8742460511765553</v>
      </c>
      <c r="Z35" s="14">
        <v>18.286186424753168</v>
      </c>
      <c r="AA35" s="14">
        <v>14.838866463507427</v>
      </c>
      <c r="AB35" s="14">
        <v>41.217082365866908</v>
      </c>
      <c r="AC35" s="14">
        <v>48.410601279895673</v>
      </c>
      <c r="AD35" s="14">
        <v>22.33814039047699</v>
      </c>
      <c r="AE35" s="14">
        <v>50.929113252098837</v>
      </c>
      <c r="AF35" s="14">
        <v>90.944424177968173</v>
      </c>
      <c r="AG35" s="14">
        <v>11.901159537639527</v>
      </c>
      <c r="AH35" s="14">
        <v>64.47138400961876</v>
      </c>
      <c r="AI35" s="14">
        <v>3.9945293941330617</v>
      </c>
      <c r="AJ35" s="14">
        <v>0.59881656899769542</v>
      </c>
      <c r="AK35" s="14">
        <v>53.999600955080574</v>
      </c>
      <c r="AL35" s="14">
        <v>44.380926681773047</v>
      </c>
      <c r="AM35" s="14">
        <v>43.046183518919136</v>
      </c>
      <c r="AN35" s="14">
        <v>90.503096332112975</v>
      </c>
      <c r="AO35" s="14">
        <v>95.162739967259853</v>
      </c>
      <c r="AP35" s="14">
        <v>32.555307113816035</v>
      </c>
      <c r="AQ35" s="14">
        <v>33.748563273284972</v>
      </c>
      <c r="AR35" s="14">
        <v>51.739788023204945</v>
      </c>
      <c r="AS35" s="14">
        <v>8.8991562581473449</v>
      </c>
      <c r="AT35" s="14">
        <v>1.3104154880243191</v>
      </c>
      <c r="AU35" s="14">
        <v>72.155425365343902</v>
      </c>
      <c r="AV35" s="14">
        <v>60.976587046707643</v>
      </c>
      <c r="AW35" s="14">
        <v>90.668559219673028</v>
      </c>
      <c r="AX35" s="14">
        <v>32.585215616094501</v>
      </c>
      <c r="AY35" s="14">
        <v>89.778818318408057</v>
      </c>
      <c r="AZ35" s="14">
        <v>28.660548775825369</v>
      </c>
      <c r="BA35" s="14">
        <v>34.471741398593537</v>
      </c>
      <c r="BB35" s="14">
        <v>48.484058090938674</v>
      </c>
      <c r="BC35" s="14">
        <v>21.153650030076253</v>
      </c>
      <c r="BD35" s="14">
        <v>81.665135940130824</v>
      </c>
    </row>
    <row r="36" spans="1:56" x14ac:dyDescent="0.3">
      <c r="A36" s="19">
        <v>2014</v>
      </c>
      <c r="B36" s="8" t="s">
        <v>70</v>
      </c>
      <c r="C36" s="8" t="str">
        <f t="shared" si="2"/>
        <v>ND</v>
      </c>
      <c r="D36" s="8" t="str">
        <f t="shared" si="3"/>
        <v>北达科他</v>
      </c>
      <c r="E36" s="15">
        <v>77.773297204961949</v>
      </c>
      <c r="F36" s="15">
        <v>62.372876633622873</v>
      </c>
      <c r="G36" s="15">
        <v>17.116800848106173</v>
      </c>
      <c r="H36" s="15">
        <v>98.864716297594299</v>
      </c>
      <c r="I36" s="15">
        <v>74.058229078173397</v>
      </c>
      <c r="J36" s="15">
        <v>19.892945524157359</v>
      </c>
      <c r="K36" s="15">
        <v>46.927918615461863</v>
      </c>
      <c r="L36" s="15">
        <v>21.374916186189918</v>
      </c>
      <c r="M36" s="15">
        <v>95.639318516972139</v>
      </c>
      <c r="N36" s="15">
        <v>82.42278784153244</v>
      </c>
      <c r="O36" s="15">
        <v>20.836911795481672</v>
      </c>
      <c r="P36" s="15">
        <v>77.576392844387485</v>
      </c>
      <c r="Q36" s="15">
        <v>70.214517590030738</v>
      </c>
      <c r="R36" s="15">
        <v>30.256826746900213</v>
      </c>
      <c r="S36" s="15">
        <v>79.356079681841265</v>
      </c>
      <c r="T36" s="15">
        <v>76.0964024297935</v>
      </c>
      <c r="U36" s="15">
        <v>0.21524567644588544</v>
      </c>
      <c r="V36" s="15">
        <v>79.24938813342321</v>
      </c>
      <c r="W36" s="15">
        <v>2.7500111119744375</v>
      </c>
      <c r="X36" s="15">
        <v>62.711299764719222</v>
      </c>
      <c r="Y36" s="15">
        <v>2.0993457953430439</v>
      </c>
      <c r="Z36" s="15">
        <v>67.287253545483665</v>
      </c>
      <c r="AA36" s="15">
        <v>67.039885648021553</v>
      </c>
      <c r="AB36" s="15">
        <v>75.907241151647369</v>
      </c>
      <c r="AC36" s="15">
        <v>2.5810747875047335</v>
      </c>
      <c r="AD36" s="15">
        <v>72.104887992698991</v>
      </c>
      <c r="AE36" s="15">
        <v>42.148930044972452</v>
      </c>
      <c r="AF36" s="15">
        <v>50.752287475461365</v>
      </c>
      <c r="AG36" s="15">
        <v>37.337164559671088</v>
      </c>
      <c r="AH36" s="15">
        <v>93.075296251788117</v>
      </c>
      <c r="AI36" s="15">
        <v>90.43487746285642</v>
      </c>
      <c r="AJ36" s="15">
        <v>25.112548802601264</v>
      </c>
      <c r="AK36" s="15">
        <v>71.072377728313</v>
      </c>
      <c r="AL36" s="15">
        <v>61.571868593171089</v>
      </c>
      <c r="AM36" s="15">
        <v>36.689987404133376</v>
      </c>
      <c r="AN36" s="15">
        <v>27.672721759438033</v>
      </c>
      <c r="AO36" s="15">
        <v>33.982877205730631</v>
      </c>
      <c r="AP36" s="15">
        <v>85.577649342299381</v>
      </c>
      <c r="AQ36" s="15">
        <v>4.7731866746770883</v>
      </c>
      <c r="AR36" s="15">
        <v>25.909229143995304</v>
      </c>
      <c r="AS36" s="15">
        <v>98.967860700419379</v>
      </c>
      <c r="AT36" s="15">
        <v>11.653156589670955</v>
      </c>
      <c r="AU36" s="15">
        <v>71.285300146894997</v>
      </c>
      <c r="AV36" s="15">
        <v>61.703030597171484</v>
      </c>
      <c r="AW36" s="15">
        <v>34.997572933563795</v>
      </c>
      <c r="AX36" s="15">
        <v>32.723011346593687</v>
      </c>
      <c r="AY36" s="15">
        <v>10.976061422309879</v>
      </c>
      <c r="AZ36" s="15">
        <v>69.803960548368138</v>
      </c>
      <c r="BA36" s="15">
        <v>91.580265402164898</v>
      </c>
      <c r="BB36" s="15">
        <v>76.080792940303866</v>
      </c>
      <c r="BC36" s="15">
        <v>52.317824354754514</v>
      </c>
      <c r="BD36" s="15">
        <v>0.53803893323020047</v>
      </c>
    </row>
    <row r="37" spans="1:56" x14ac:dyDescent="0.3">
      <c r="A37" s="18">
        <v>2014</v>
      </c>
      <c r="B37" s="6" t="s">
        <v>72</v>
      </c>
      <c r="C37" s="6" t="str">
        <f t="shared" si="2"/>
        <v>OH</v>
      </c>
      <c r="D37" s="6" t="str">
        <f t="shared" si="3"/>
        <v>俄亥俄州</v>
      </c>
      <c r="E37" s="14">
        <v>61.850899992646092</v>
      </c>
      <c r="F37" s="14">
        <v>79.499800127044523</v>
      </c>
      <c r="G37" s="14">
        <v>84.368681025103683</v>
      </c>
      <c r="H37" s="14">
        <v>74.796829455181495</v>
      </c>
      <c r="I37" s="14">
        <v>18.348677500813192</v>
      </c>
      <c r="J37" s="14">
        <v>62.971243377779764</v>
      </c>
      <c r="K37" s="14">
        <v>55.112019710494799</v>
      </c>
      <c r="L37" s="14">
        <v>14.748606573049795</v>
      </c>
      <c r="M37" s="14">
        <v>93.592092557870814</v>
      </c>
      <c r="N37" s="14">
        <v>61.100157673058732</v>
      </c>
      <c r="O37" s="14">
        <v>59.120184560066846</v>
      </c>
      <c r="P37" s="14">
        <v>43.234755051702258</v>
      </c>
      <c r="Q37" s="14">
        <v>6.3962868396026273</v>
      </c>
      <c r="R37" s="14">
        <v>8.7502496104157164</v>
      </c>
      <c r="S37" s="14">
        <v>34.982696083012378</v>
      </c>
      <c r="T37" s="14">
        <v>11.315198064580345</v>
      </c>
      <c r="U37" s="14">
        <v>25.537669510672355</v>
      </c>
      <c r="V37" s="14">
        <v>2.6736010622864459</v>
      </c>
      <c r="W37" s="14">
        <v>81.076940411560798</v>
      </c>
      <c r="X37" s="14">
        <v>51.54695776883802</v>
      </c>
      <c r="Y37" s="14">
        <v>84.005959638840338</v>
      </c>
      <c r="Z37" s="14">
        <v>45.570569394158433</v>
      </c>
      <c r="AA37" s="14">
        <v>31.861153651346854</v>
      </c>
      <c r="AB37" s="14">
        <v>78.899994443592348</v>
      </c>
      <c r="AC37" s="14">
        <v>54.195254671378912</v>
      </c>
      <c r="AD37" s="14">
        <v>39.792940337085724</v>
      </c>
      <c r="AE37" s="14">
        <v>48.681062179124226</v>
      </c>
      <c r="AF37" s="14">
        <v>78.323053912526447</v>
      </c>
      <c r="AG37" s="14">
        <v>87.709081821600236</v>
      </c>
      <c r="AH37" s="14">
        <v>75.686105562015825</v>
      </c>
      <c r="AI37" s="14">
        <v>51.163225303265889</v>
      </c>
      <c r="AJ37" s="14">
        <v>56.889860377308644</v>
      </c>
      <c r="AK37" s="14">
        <v>72.381109899873039</v>
      </c>
      <c r="AL37" s="14">
        <v>40.355154517896587</v>
      </c>
      <c r="AM37" s="14">
        <v>90.692183333011883</v>
      </c>
      <c r="AN37" s="14">
        <v>13.730490405592644</v>
      </c>
      <c r="AO37" s="14">
        <v>12.942631317242414</v>
      </c>
      <c r="AP37" s="14">
        <v>76.049061539944745</v>
      </c>
      <c r="AQ37" s="14">
        <v>25.547751439915722</v>
      </c>
      <c r="AR37" s="14">
        <v>46.459957612769585</v>
      </c>
      <c r="AS37" s="14">
        <v>91.643711715299034</v>
      </c>
      <c r="AT37" s="14">
        <v>53.19432741443061</v>
      </c>
      <c r="AU37" s="14">
        <v>62.833327695516004</v>
      </c>
      <c r="AV37" s="14">
        <v>7.6061099333855964</v>
      </c>
      <c r="AW37" s="14">
        <v>33.106192398993905</v>
      </c>
      <c r="AX37" s="14">
        <v>70.619700581522466</v>
      </c>
      <c r="AY37" s="14">
        <v>1.2085887075716228</v>
      </c>
      <c r="AZ37" s="14">
        <v>26.051318868203843</v>
      </c>
      <c r="BA37" s="14">
        <v>15.660778337042514</v>
      </c>
      <c r="BB37" s="14">
        <v>14.018084896736161</v>
      </c>
      <c r="BC37" s="14">
        <v>92.228745910407667</v>
      </c>
      <c r="BD37" s="14">
        <v>3.0897262671180536</v>
      </c>
    </row>
    <row r="38" spans="1:56" x14ac:dyDescent="0.3">
      <c r="A38" s="19">
        <v>2014</v>
      </c>
      <c r="B38" s="8" t="s">
        <v>74</v>
      </c>
      <c r="C38" s="8" t="str">
        <f t="shared" si="2"/>
        <v>OK</v>
      </c>
      <c r="D38" s="8" t="str">
        <f t="shared" si="3"/>
        <v>俄克拉何马州</v>
      </c>
      <c r="E38" s="15">
        <v>28.981976953575906</v>
      </c>
      <c r="F38" s="15">
        <v>6.7781348235208423</v>
      </c>
      <c r="G38" s="15">
        <v>39.897932160256843</v>
      </c>
      <c r="H38" s="15">
        <v>64.542128732643448</v>
      </c>
      <c r="I38" s="15">
        <v>19.415536452827642</v>
      </c>
      <c r="J38" s="15">
        <v>82.210677661814557</v>
      </c>
      <c r="K38" s="15">
        <v>57.925079745571431</v>
      </c>
      <c r="L38" s="15">
        <v>34.976781727808216</v>
      </c>
      <c r="M38" s="15">
        <v>67.210696244356996</v>
      </c>
      <c r="N38" s="15">
        <v>82.922338005345679</v>
      </c>
      <c r="O38" s="15">
        <v>39.347253773682411</v>
      </c>
      <c r="P38" s="15">
        <v>51.24255911182788</v>
      </c>
      <c r="Q38" s="15">
        <v>55.532473256935802</v>
      </c>
      <c r="R38" s="15">
        <v>41.842009628956411</v>
      </c>
      <c r="S38" s="15">
        <v>35.769843462627335</v>
      </c>
      <c r="T38" s="15">
        <v>50.7733898258615</v>
      </c>
      <c r="U38" s="15">
        <v>82.792128467610453</v>
      </c>
      <c r="V38" s="15">
        <v>33.229281553740442</v>
      </c>
      <c r="W38" s="15">
        <v>18.659240715041758</v>
      </c>
      <c r="X38" s="15">
        <v>62.542427077938697</v>
      </c>
      <c r="Y38" s="15">
        <v>88.235163984678366</v>
      </c>
      <c r="Z38" s="15">
        <v>87.755930372039558</v>
      </c>
      <c r="AA38" s="15">
        <v>89.568046324645053</v>
      </c>
      <c r="AB38" s="15">
        <v>25.231633163758826</v>
      </c>
      <c r="AC38" s="15">
        <v>47.702498334496291</v>
      </c>
      <c r="AD38" s="15">
        <v>25.547002786677918</v>
      </c>
      <c r="AE38" s="15">
        <v>19.069751664293179</v>
      </c>
      <c r="AF38" s="15">
        <v>14.007337932971865</v>
      </c>
      <c r="AG38" s="15">
        <v>51.275861443794987</v>
      </c>
      <c r="AH38" s="15">
        <v>45.487372832807658</v>
      </c>
      <c r="AI38" s="15">
        <v>56.05914134021215</v>
      </c>
      <c r="AJ38" s="15">
        <v>46.989179921968613</v>
      </c>
      <c r="AK38" s="15">
        <v>98.161736355658164</v>
      </c>
      <c r="AL38" s="15">
        <v>14.951421639557294</v>
      </c>
      <c r="AM38" s="15">
        <v>28.31018624092987</v>
      </c>
      <c r="AN38" s="15">
        <v>62.343118333798571</v>
      </c>
      <c r="AO38" s="15">
        <v>60.169369018936827</v>
      </c>
      <c r="AP38" s="15">
        <v>98.903429055977128</v>
      </c>
      <c r="AQ38" s="15">
        <v>19.706912353141515</v>
      </c>
      <c r="AR38" s="15">
        <v>30.000878483323678</v>
      </c>
      <c r="AS38" s="15">
        <v>75.737607052832772</v>
      </c>
      <c r="AT38" s="15">
        <v>67.205964315751856</v>
      </c>
      <c r="AU38" s="15">
        <v>18.931898717077424</v>
      </c>
      <c r="AV38" s="15">
        <v>52.884603246016667</v>
      </c>
      <c r="AW38" s="15">
        <v>6.3660806674276866</v>
      </c>
      <c r="AX38" s="15">
        <v>55.578685780366719</v>
      </c>
      <c r="AY38" s="15">
        <v>72.334574980404682</v>
      </c>
      <c r="AZ38" s="15">
        <v>49.881006824790383</v>
      </c>
      <c r="BA38" s="15">
        <v>43.906771160273514</v>
      </c>
      <c r="BB38" s="15">
        <v>86.77867091929869</v>
      </c>
      <c r="BC38" s="15">
        <v>78.44491920709325</v>
      </c>
      <c r="BD38" s="15">
        <v>79.006434921974517</v>
      </c>
    </row>
    <row r="39" spans="1:56" x14ac:dyDescent="0.3">
      <c r="A39" s="18">
        <v>2014</v>
      </c>
      <c r="B39" s="6" t="s">
        <v>76</v>
      </c>
      <c r="C39" s="6" t="str">
        <f t="shared" si="2"/>
        <v>OR</v>
      </c>
      <c r="D39" s="6" t="str">
        <f t="shared" si="3"/>
        <v>俄勒冈州</v>
      </c>
      <c r="E39" s="14">
        <v>28.181411522051324</v>
      </c>
      <c r="F39" s="14">
        <v>19.301890098822795</v>
      </c>
      <c r="G39" s="14">
        <v>52.846307221661505</v>
      </c>
      <c r="H39" s="14">
        <v>17.788968146142604</v>
      </c>
      <c r="I39" s="14">
        <v>91.925226829709501</v>
      </c>
      <c r="J39" s="14">
        <v>74.936460777485337</v>
      </c>
      <c r="K39" s="14">
        <v>48.060191693032969</v>
      </c>
      <c r="L39" s="14">
        <v>61.614043253880915</v>
      </c>
      <c r="M39" s="14">
        <v>19.082442583027216</v>
      </c>
      <c r="N39" s="14">
        <v>20.301221888173504</v>
      </c>
      <c r="O39" s="14">
        <v>23.897118569056719</v>
      </c>
      <c r="P39" s="14">
        <v>92.223858724285535</v>
      </c>
      <c r="Q39" s="14">
        <v>40.00207629775786</v>
      </c>
      <c r="R39" s="14">
        <v>46.834571084989385</v>
      </c>
      <c r="S39" s="14">
        <v>66.241404624378148</v>
      </c>
      <c r="T39" s="14">
        <v>66.862318108173469</v>
      </c>
      <c r="U39" s="14">
        <v>35.485204746547815</v>
      </c>
      <c r="V39" s="14">
        <v>50.10176351912348</v>
      </c>
      <c r="W39" s="14">
        <v>9.452133019365883</v>
      </c>
      <c r="X39" s="14">
        <v>69.844862758255331</v>
      </c>
      <c r="Y39" s="14">
        <v>15.7254301432462</v>
      </c>
      <c r="Z39" s="14">
        <v>59.58348395645212</v>
      </c>
      <c r="AA39" s="14">
        <v>38.484236043411435</v>
      </c>
      <c r="AB39" s="14">
        <v>69.659025979668499</v>
      </c>
      <c r="AC39" s="14">
        <v>38.726771512757672</v>
      </c>
      <c r="AD39" s="14">
        <v>19.989628672961501</v>
      </c>
      <c r="AE39" s="14">
        <v>64.12901038190877</v>
      </c>
      <c r="AF39" s="14">
        <v>93.686568936494155</v>
      </c>
      <c r="AG39" s="14">
        <v>99.375213014236834</v>
      </c>
      <c r="AH39" s="14">
        <v>23.850204970975497</v>
      </c>
      <c r="AI39" s="14">
        <v>15.693726894061422</v>
      </c>
      <c r="AJ39" s="14">
        <v>46.2093562190394</v>
      </c>
      <c r="AK39" s="14">
        <v>35.084106636748459</v>
      </c>
      <c r="AL39" s="14">
        <v>6.6971844030330523</v>
      </c>
      <c r="AM39" s="14">
        <v>18.496225949728373</v>
      </c>
      <c r="AN39" s="14">
        <v>62.713919123737369</v>
      </c>
      <c r="AO39" s="14">
        <v>4.1370770577376037</v>
      </c>
      <c r="AP39" s="14">
        <v>28.29458520347692</v>
      </c>
      <c r="AQ39" s="14">
        <v>33.461183645189806</v>
      </c>
      <c r="AR39" s="14">
        <v>17.483795053689288</v>
      </c>
      <c r="AS39" s="14">
        <v>12.740930980603892</v>
      </c>
      <c r="AT39" s="14">
        <v>67.92866522730985</v>
      </c>
      <c r="AU39" s="14">
        <v>21.368229540144277</v>
      </c>
      <c r="AV39" s="14">
        <v>37.287958519871999</v>
      </c>
      <c r="AW39" s="14">
        <v>30.825497047858597</v>
      </c>
      <c r="AX39" s="14">
        <v>85.408025854550473</v>
      </c>
      <c r="AY39" s="14">
        <v>95.950861625605128</v>
      </c>
      <c r="AZ39" s="14">
        <v>43.913007598708333</v>
      </c>
      <c r="BA39" s="14">
        <v>61.497170559581861</v>
      </c>
      <c r="BB39" s="14">
        <v>65.109307780170127</v>
      </c>
      <c r="BC39" s="14">
        <v>8.6226112280207161</v>
      </c>
      <c r="BD39" s="14">
        <v>69.276687340308669</v>
      </c>
    </row>
    <row r="40" spans="1:56" x14ac:dyDescent="0.3">
      <c r="A40" s="19">
        <v>2014</v>
      </c>
      <c r="B40" s="8" t="s">
        <v>78</v>
      </c>
      <c r="C40" s="8" t="str">
        <f t="shared" si="2"/>
        <v>PA</v>
      </c>
      <c r="D40" s="8" t="str">
        <f t="shared" si="3"/>
        <v>宾西法尼亚</v>
      </c>
      <c r="E40" s="15">
        <v>3.6652841432003314</v>
      </c>
      <c r="F40" s="15">
        <v>45.515029193233971</v>
      </c>
      <c r="G40" s="15">
        <v>96.986019431707987</v>
      </c>
      <c r="H40" s="15">
        <v>77.23363546047068</v>
      </c>
      <c r="I40" s="15">
        <v>63.366468798058747</v>
      </c>
      <c r="J40" s="15">
        <v>48.416318039834572</v>
      </c>
      <c r="K40" s="15">
        <v>77.46351409244599</v>
      </c>
      <c r="L40" s="15">
        <v>35.47273431471605</v>
      </c>
      <c r="M40" s="15">
        <v>44.21539680210801</v>
      </c>
      <c r="N40" s="15">
        <v>46.583283770994335</v>
      </c>
      <c r="O40" s="15">
        <v>40.175655258941845</v>
      </c>
      <c r="P40" s="15">
        <v>4.0957610453018711</v>
      </c>
      <c r="Q40" s="15">
        <v>41.434934514903155</v>
      </c>
      <c r="R40" s="15">
        <v>26.772457760911884</v>
      </c>
      <c r="S40" s="15">
        <v>83.273135557690608</v>
      </c>
      <c r="T40" s="15">
        <v>79.537351038672568</v>
      </c>
      <c r="U40" s="15">
        <v>60.283367921443023</v>
      </c>
      <c r="V40" s="15">
        <v>19.271030702218983</v>
      </c>
      <c r="W40" s="15">
        <v>87.733321551555321</v>
      </c>
      <c r="X40" s="15">
        <v>10.607648134490667</v>
      </c>
      <c r="Y40" s="15">
        <v>10.434351557257193</v>
      </c>
      <c r="Z40" s="15">
        <v>69.011074485367857</v>
      </c>
      <c r="AA40" s="15">
        <v>56.207964105079697</v>
      </c>
      <c r="AB40" s="15">
        <v>74.126353061769862</v>
      </c>
      <c r="AC40" s="15">
        <v>14.758916002771304</v>
      </c>
      <c r="AD40" s="15">
        <v>23.129707408733847</v>
      </c>
      <c r="AE40" s="15">
        <v>69.953068920250388</v>
      </c>
      <c r="AF40" s="15">
        <v>73.704312319781067</v>
      </c>
      <c r="AG40" s="15">
        <v>70.160747834437387</v>
      </c>
      <c r="AH40" s="15">
        <v>36.835663716439434</v>
      </c>
      <c r="AI40" s="15">
        <v>55.794841294907869</v>
      </c>
      <c r="AJ40" s="15">
        <v>93.313461795011094</v>
      </c>
      <c r="AK40" s="15">
        <v>0.65980152331266417</v>
      </c>
      <c r="AL40" s="15">
        <v>91.227528303541405</v>
      </c>
      <c r="AM40" s="15">
        <v>87.141585485919421</v>
      </c>
      <c r="AN40" s="15">
        <v>22.568717716967988</v>
      </c>
      <c r="AO40" s="15">
        <v>16.369228455627326</v>
      </c>
      <c r="AP40" s="15">
        <v>68.644146941338349</v>
      </c>
      <c r="AQ40" s="15">
        <v>76.108404598259014</v>
      </c>
      <c r="AR40" s="15">
        <v>70.497191437886215</v>
      </c>
      <c r="AS40" s="15">
        <v>7.0412700828609287</v>
      </c>
      <c r="AT40" s="15">
        <v>70.499341836442696</v>
      </c>
      <c r="AU40" s="15">
        <v>11.531311632011942</v>
      </c>
      <c r="AV40" s="15">
        <v>52.775389424962086</v>
      </c>
      <c r="AW40" s="15">
        <v>41.846746158098178</v>
      </c>
      <c r="AX40" s="15">
        <v>99.699309461238855</v>
      </c>
      <c r="AY40" s="15">
        <v>77.610322584041782</v>
      </c>
      <c r="AZ40" s="15">
        <v>62.148591542137332</v>
      </c>
      <c r="BA40" s="15">
        <v>1.3756930528741051E-3</v>
      </c>
      <c r="BB40" s="15">
        <v>95.684148367680947</v>
      </c>
      <c r="BC40" s="15">
        <v>97.328076481351545</v>
      </c>
      <c r="BD40" s="15">
        <v>37.7029450753246</v>
      </c>
    </row>
    <row r="41" spans="1:56" x14ac:dyDescent="0.3">
      <c r="A41" s="18">
        <v>2014</v>
      </c>
      <c r="B41" s="6" t="s">
        <v>82</v>
      </c>
      <c r="C41" s="6" t="str">
        <f t="shared" si="2"/>
        <v>RI</v>
      </c>
      <c r="D41" s="6" t="str">
        <f t="shared" si="3"/>
        <v>罗德岛州</v>
      </c>
      <c r="E41" s="14">
        <v>12.132870189175405</v>
      </c>
      <c r="F41" s="14">
        <v>18.432316649716785</v>
      </c>
      <c r="G41" s="14">
        <v>60.361067843937967</v>
      </c>
      <c r="H41" s="14">
        <v>84.977251283962644</v>
      </c>
      <c r="I41" s="14">
        <v>85.483722766548851</v>
      </c>
      <c r="J41" s="14">
        <v>13.779478910132026</v>
      </c>
      <c r="K41" s="14">
        <v>80.726627132075237</v>
      </c>
      <c r="L41" s="14">
        <v>50.436756986196329</v>
      </c>
      <c r="M41" s="14">
        <v>89.554854268643908</v>
      </c>
      <c r="N41" s="14">
        <v>95.676835448980015</v>
      </c>
      <c r="O41" s="14">
        <v>66.249905340514587</v>
      </c>
      <c r="P41" s="14">
        <v>72.440052566893257</v>
      </c>
      <c r="Q41" s="14">
        <v>45.214413029707622</v>
      </c>
      <c r="R41" s="14">
        <v>74.128428885187759</v>
      </c>
      <c r="S41" s="14">
        <v>47.010997258264887</v>
      </c>
      <c r="T41" s="14">
        <v>26.587785683932118</v>
      </c>
      <c r="U41" s="14">
        <v>23.664659029084611</v>
      </c>
      <c r="V41" s="14">
        <v>94.637283829842886</v>
      </c>
      <c r="W41" s="14">
        <v>22.053515940639535</v>
      </c>
      <c r="X41" s="14">
        <v>85.948111766682771</v>
      </c>
      <c r="Y41" s="14">
        <v>55.382298228098591</v>
      </c>
      <c r="Z41" s="14">
        <v>74.897215888005817</v>
      </c>
      <c r="AA41" s="14">
        <v>5.4044133831801506</v>
      </c>
      <c r="AB41" s="14">
        <v>53.497028309943815</v>
      </c>
      <c r="AC41" s="14">
        <v>2.3433296181784802</v>
      </c>
      <c r="AD41" s="14">
        <v>56.774822236966486</v>
      </c>
      <c r="AE41" s="14">
        <v>27.325753759155489</v>
      </c>
      <c r="AF41" s="14">
        <v>77.336808767223204</v>
      </c>
      <c r="AG41" s="14">
        <v>92.239100165226446</v>
      </c>
      <c r="AH41" s="14">
        <v>96.383115978890089</v>
      </c>
      <c r="AI41" s="14">
        <v>92.416158607535436</v>
      </c>
      <c r="AJ41" s="14">
        <v>55.578917196013577</v>
      </c>
      <c r="AK41" s="14">
        <v>1.032767059978279</v>
      </c>
      <c r="AL41" s="14">
        <v>94.386781025540216</v>
      </c>
      <c r="AM41" s="14">
        <v>63.303745801799415</v>
      </c>
      <c r="AN41" s="14">
        <v>76.03904937620996</v>
      </c>
      <c r="AO41" s="14">
        <v>0.46182934259472175</v>
      </c>
      <c r="AP41" s="14">
        <v>12.740629859879803</v>
      </c>
      <c r="AQ41" s="14">
        <v>71.738131292686603</v>
      </c>
      <c r="AR41" s="14">
        <v>17.721753622024352</v>
      </c>
      <c r="AS41" s="14">
        <v>97.689769680819012</v>
      </c>
      <c r="AT41" s="14">
        <v>19.111324576311041</v>
      </c>
      <c r="AU41" s="14">
        <v>25.048085673020015</v>
      </c>
      <c r="AV41" s="14">
        <v>60.610744891952038</v>
      </c>
      <c r="AW41" s="14">
        <v>97.692497815528</v>
      </c>
      <c r="AX41" s="14">
        <v>38.98008850690001</v>
      </c>
      <c r="AY41" s="14">
        <v>9.2300448918339661</v>
      </c>
      <c r="AZ41" s="14">
        <v>17.511200537190096</v>
      </c>
      <c r="BA41" s="14">
        <v>78.267634809401983</v>
      </c>
      <c r="BB41" s="14">
        <v>43.739797542408375</v>
      </c>
      <c r="BC41" s="14">
        <v>27.962053123034003</v>
      </c>
      <c r="BD41" s="14">
        <v>76.558828817890031</v>
      </c>
    </row>
    <row r="42" spans="1:56" x14ac:dyDescent="0.3">
      <c r="A42" s="19">
        <v>2014</v>
      </c>
      <c r="B42" s="8" t="s">
        <v>84</v>
      </c>
      <c r="C42" s="8" t="str">
        <f t="shared" si="2"/>
        <v>SC</v>
      </c>
      <c r="D42" s="8" t="str">
        <f t="shared" si="3"/>
        <v>南卡罗来纳</v>
      </c>
      <c r="E42" s="15">
        <v>83.845605885690205</v>
      </c>
      <c r="F42" s="15">
        <v>98.092730770936811</v>
      </c>
      <c r="G42" s="15">
        <v>67.304900844114655</v>
      </c>
      <c r="H42" s="15">
        <v>51.359994775313055</v>
      </c>
      <c r="I42" s="15">
        <v>67.530441004509726</v>
      </c>
      <c r="J42" s="15">
        <v>95.891495886472143</v>
      </c>
      <c r="K42" s="15">
        <v>86.250806614712914</v>
      </c>
      <c r="L42" s="15">
        <v>60.934499741860591</v>
      </c>
      <c r="M42" s="15">
        <v>56.144286535872276</v>
      </c>
      <c r="N42" s="15">
        <v>58.310176568308471</v>
      </c>
      <c r="O42" s="15">
        <v>53.6987319840159</v>
      </c>
      <c r="P42" s="15">
        <v>79.84956098203277</v>
      </c>
      <c r="Q42" s="15">
        <v>45.068108049929144</v>
      </c>
      <c r="R42" s="15">
        <v>42.501617580054187</v>
      </c>
      <c r="S42" s="15">
        <v>92.292402954540094</v>
      </c>
      <c r="T42" s="15">
        <v>83.965983131972251</v>
      </c>
      <c r="U42" s="15">
        <v>27.736971490340945</v>
      </c>
      <c r="V42" s="15">
        <v>11.490566101778432</v>
      </c>
      <c r="W42" s="15">
        <v>62.140113016132403</v>
      </c>
      <c r="X42" s="15">
        <v>78.363968459090884</v>
      </c>
      <c r="Y42" s="15">
        <v>43.544738275433716</v>
      </c>
      <c r="Z42" s="15">
        <v>98.14482481277976</v>
      </c>
      <c r="AA42" s="15">
        <v>22.759772424397319</v>
      </c>
      <c r="AB42" s="15">
        <v>86.083988928544343</v>
      </c>
      <c r="AC42" s="15">
        <v>7.5414342191205463</v>
      </c>
      <c r="AD42" s="15">
        <v>53.743770761954259</v>
      </c>
      <c r="AE42" s="15">
        <v>64.773240870960464</v>
      </c>
      <c r="AF42" s="15">
        <v>51.505533918060465</v>
      </c>
      <c r="AG42" s="15">
        <v>7.2133297847354232</v>
      </c>
      <c r="AH42" s="15">
        <v>93.348855654544735</v>
      </c>
      <c r="AI42" s="15">
        <v>27.349356000258418</v>
      </c>
      <c r="AJ42" s="15">
        <v>58.658261364525579</v>
      </c>
      <c r="AK42" s="15">
        <v>13.282421655331056</v>
      </c>
      <c r="AL42" s="15">
        <v>95.535674286637914</v>
      </c>
      <c r="AM42" s="15">
        <v>65.951384784574586</v>
      </c>
      <c r="AN42" s="15">
        <v>27.339610799132185</v>
      </c>
      <c r="AO42" s="15">
        <v>40.339624597579785</v>
      </c>
      <c r="AP42" s="15">
        <v>55.358615361325505</v>
      </c>
      <c r="AQ42" s="15">
        <v>34.689686520558169</v>
      </c>
      <c r="AR42" s="15">
        <v>0.80844290816644016</v>
      </c>
      <c r="AS42" s="15">
        <v>36.195370762266691</v>
      </c>
      <c r="AT42" s="15">
        <v>63.036043082432357</v>
      </c>
      <c r="AU42" s="15">
        <v>90.670284155175622</v>
      </c>
      <c r="AV42" s="15">
        <v>31.421167348665115</v>
      </c>
      <c r="AW42" s="15">
        <v>82.886045610435872</v>
      </c>
      <c r="AX42" s="15">
        <v>99.367815342516991</v>
      </c>
      <c r="AY42" s="15">
        <v>49.932402374086102</v>
      </c>
      <c r="AZ42" s="15">
        <v>2.7456572065699292</v>
      </c>
      <c r="BA42" s="15">
        <v>36.131671034276401</v>
      </c>
      <c r="BB42" s="15">
        <v>98.824394234789821</v>
      </c>
      <c r="BC42" s="15">
        <v>21.768045224532361</v>
      </c>
      <c r="BD42" s="15">
        <v>44.583019449024434</v>
      </c>
    </row>
    <row r="43" spans="1:56" x14ac:dyDescent="0.3">
      <c r="A43" s="18">
        <v>2014</v>
      </c>
      <c r="B43" s="6" t="s">
        <v>86</v>
      </c>
      <c r="C43" s="6" t="str">
        <f t="shared" si="2"/>
        <v>SD</v>
      </c>
      <c r="D43" s="6" t="str">
        <f t="shared" si="3"/>
        <v>南达科他州</v>
      </c>
      <c r="E43" s="14">
        <v>12.737710597598761</v>
      </c>
      <c r="F43" s="14">
        <v>31.254868711492957</v>
      </c>
      <c r="G43" s="14">
        <v>57.392508542407896</v>
      </c>
      <c r="H43" s="14">
        <v>46.967038831590649</v>
      </c>
      <c r="I43" s="14">
        <v>99.048606406528549</v>
      </c>
      <c r="J43" s="14">
        <v>79.991810132258195</v>
      </c>
      <c r="K43" s="14">
        <v>45.114048247092285</v>
      </c>
      <c r="L43" s="14">
        <v>66.541127330141919</v>
      </c>
      <c r="M43" s="14">
        <v>81.773395573262832</v>
      </c>
      <c r="N43" s="14">
        <v>80.382516349157171</v>
      </c>
      <c r="O43" s="14">
        <v>27.346873487643553</v>
      </c>
      <c r="P43" s="14">
        <v>42.948342801378899</v>
      </c>
      <c r="Q43" s="14">
        <v>99.637390174553971</v>
      </c>
      <c r="R43" s="14">
        <v>41.114690013518306</v>
      </c>
      <c r="S43" s="14">
        <v>73.192252667260064</v>
      </c>
      <c r="T43" s="14">
        <v>25.302842959504357</v>
      </c>
      <c r="U43" s="14">
        <v>20.658596163685228</v>
      </c>
      <c r="V43" s="14">
        <v>92.268941398038933</v>
      </c>
      <c r="W43" s="14">
        <v>12.79434796755371</v>
      </c>
      <c r="X43" s="14">
        <v>14.460580827110647</v>
      </c>
      <c r="Y43" s="14">
        <v>93.612220743785798</v>
      </c>
      <c r="Z43" s="14">
        <v>31.290865040779579</v>
      </c>
      <c r="AA43" s="14">
        <v>89.728278535512345</v>
      </c>
      <c r="AB43" s="14">
        <v>92.504809725644037</v>
      </c>
      <c r="AC43" s="14">
        <v>66.044682042335182</v>
      </c>
      <c r="AD43" s="14">
        <v>95.867279643050722</v>
      </c>
      <c r="AE43" s="14">
        <v>52.497384826438257</v>
      </c>
      <c r="AF43" s="14">
        <v>62.945849958729738</v>
      </c>
      <c r="AG43" s="14">
        <v>71.251500462609044</v>
      </c>
      <c r="AH43" s="14">
        <v>31.088591304274804</v>
      </c>
      <c r="AI43" s="14">
        <v>34.238970309729908</v>
      </c>
      <c r="AJ43" s="14">
        <v>80.65157059425384</v>
      </c>
      <c r="AK43" s="14">
        <v>80.875360703436115</v>
      </c>
      <c r="AL43" s="14">
        <v>65.569709651480849</v>
      </c>
      <c r="AM43" s="14">
        <v>51.656195398121916</v>
      </c>
      <c r="AN43" s="14">
        <v>4.1746797981899064</v>
      </c>
      <c r="AO43" s="14">
        <v>36.942469338083264</v>
      </c>
      <c r="AP43" s="14">
        <v>86.61266571106944</v>
      </c>
      <c r="AQ43" s="14">
        <v>17.166587365484254</v>
      </c>
      <c r="AR43" s="14">
        <v>73.372589426743403</v>
      </c>
      <c r="AS43" s="14">
        <v>77.512355992285237</v>
      </c>
      <c r="AT43" s="14">
        <v>74.299798732102673</v>
      </c>
      <c r="AU43" s="14">
        <v>5.9529651108257138</v>
      </c>
      <c r="AV43" s="14">
        <v>80.321017391859044</v>
      </c>
      <c r="AW43" s="14">
        <v>52.17909676600717</v>
      </c>
      <c r="AX43" s="14">
        <v>25.976705438782865</v>
      </c>
      <c r="AY43" s="14">
        <v>19.057118136965943</v>
      </c>
      <c r="AZ43" s="14">
        <v>90.585547632544149</v>
      </c>
      <c r="BA43" s="14">
        <v>35.594800008218051</v>
      </c>
      <c r="BB43" s="14">
        <v>83.414829899362488</v>
      </c>
      <c r="BC43" s="14">
        <v>72.003594090705462</v>
      </c>
      <c r="BD43" s="14">
        <v>50.620255645874401</v>
      </c>
    </row>
    <row r="44" spans="1:56" x14ac:dyDescent="0.3">
      <c r="A44" s="19">
        <v>2014</v>
      </c>
      <c r="B44" s="8" t="s">
        <v>88</v>
      </c>
      <c r="C44" s="8" t="str">
        <f t="shared" si="2"/>
        <v>TN</v>
      </c>
      <c r="D44" s="8" t="str">
        <f t="shared" si="3"/>
        <v>田纳西州</v>
      </c>
      <c r="E44" s="15">
        <v>77.165789553745483</v>
      </c>
      <c r="F44" s="15">
        <v>45.62404321344863</v>
      </c>
      <c r="G44" s="15">
        <v>77.048604862294823</v>
      </c>
      <c r="H44" s="15">
        <v>80.23286523948822</v>
      </c>
      <c r="I44" s="15">
        <v>56.198536717357214</v>
      </c>
      <c r="J44" s="15">
        <v>40.784478309544284</v>
      </c>
      <c r="K44" s="15">
        <v>53.26086663496018</v>
      </c>
      <c r="L44" s="15">
        <v>12.735720577886623</v>
      </c>
      <c r="M44" s="15">
        <v>79.814213751408218</v>
      </c>
      <c r="N44" s="15">
        <v>38.0713024206527</v>
      </c>
      <c r="O44" s="15">
        <v>35.605941393552762</v>
      </c>
      <c r="P44" s="15">
        <v>66.681318114987562</v>
      </c>
      <c r="Q44" s="15">
        <v>2.3374829229251604</v>
      </c>
      <c r="R44" s="15">
        <v>76.528468387472429</v>
      </c>
      <c r="S44" s="15">
        <v>84.939854311063982</v>
      </c>
      <c r="T44" s="15">
        <v>71.674818524872947</v>
      </c>
      <c r="U44" s="15">
        <v>49.951150013694431</v>
      </c>
      <c r="V44" s="15">
        <v>71.615073145745583</v>
      </c>
      <c r="W44" s="15">
        <v>41.186281129281063</v>
      </c>
      <c r="X44" s="15">
        <v>6.2059562023981112</v>
      </c>
      <c r="Y44" s="15">
        <v>35.560312437211095</v>
      </c>
      <c r="Z44" s="15">
        <v>47.903526262119968</v>
      </c>
      <c r="AA44" s="15">
        <v>31.535729298244163</v>
      </c>
      <c r="AB44" s="15">
        <v>89.970335988265703</v>
      </c>
      <c r="AC44" s="15">
        <v>95.766080660563887</v>
      </c>
      <c r="AD44" s="15">
        <v>71.288697906686536</v>
      </c>
      <c r="AE44" s="15">
        <v>80.510944430309038</v>
      </c>
      <c r="AF44" s="15">
        <v>30.95684013106673</v>
      </c>
      <c r="AG44" s="15">
        <v>79.925637420256152</v>
      </c>
      <c r="AH44" s="15">
        <v>15.329185213154728</v>
      </c>
      <c r="AI44" s="15">
        <v>54.390272350129855</v>
      </c>
      <c r="AJ44" s="15">
        <v>63.28716370861148</v>
      </c>
      <c r="AK44" s="15">
        <v>95.881172832140379</v>
      </c>
      <c r="AL44" s="15">
        <v>44.837884097462641</v>
      </c>
      <c r="AM44" s="15">
        <v>53.597173172429315</v>
      </c>
      <c r="AN44" s="15">
        <v>79.393639145299915</v>
      </c>
      <c r="AO44" s="15">
        <v>78.535290332355572</v>
      </c>
      <c r="AP44" s="15">
        <v>85.237408305739166</v>
      </c>
      <c r="AQ44" s="15">
        <v>49.405324950677979</v>
      </c>
      <c r="AR44" s="15">
        <v>48.709944280460796</v>
      </c>
      <c r="AS44" s="15">
        <v>51.282384498039001</v>
      </c>
      <c r="AT44" s="15">
        <v>53.204917411091031</v>
      </c>
      <c r="AU44" s="15">
        <v>33.690190300096781</v>
      </c>
      <c r="AV44" s="15">
        <v>38.976327816607068</v>
      </c>
      <c r="AW44" s="15">
        <v>75.830737046997527</v>
      </c>
      <c r="AX44" s="15">
        <v>86.982232616665982</v>
      </c>
      <c r="AY44" s="15">
        <v>61.671802775069338</v>
      </c>
      <c r="AZ44" s="15">
        <v>48.446039646297443</v>
      </c>
      <c r="BA44" s="15">
        <v>26.788903583588418</v>
      </c>
      <c r="BB44" s="15">
        <v>85.637882063924096</v>
      </c>
      <c r="BC44" s="15">
        <v>87.716069200754816</v>
      </c>
      <c r="BD44" s="15">
        <v>66.25203317078865</v>
      </c>
    </row>
    <row r="45" spans="1:56" x14ac:dyDescent="0.3">
      <c r="A45" s="18">
        <v>2014</v>
      </c>
      <c r="B45" s="6" t="s">
        <v>90</v>
      </c>
      <c r="C45" s="6" t="str">
        <f t="shared" si="2"/>
        <v>TX</v>
      </c>
      <c r="D45" s="6" t="str">
        <f t="shared" si="3"/>
        <v>德州</v>
      </c>
      <c r="E45" s="14">
        <v>41.062188968071986</v>
      </c>
      <c r="F45" s="14">
        <v>49.222154404981907</v>
      </c>
      <c r="G45" s="14">
        <v>58.265411518142827</v>
      </c>
      <c r="H45" s="14">
        <v>58.1429676009679</v>
      </c>
      <c r="I45" s="14">
        <v>26.101133364598873</v>
      </c>
      <c r="J45" s="14">
        <v>25.782119345575872</v>
      </c>
      <c r="K45" s="14">
        <v>17.910785289136221</v>
      </c>
      <c r="L45" s="14">
        <v>81.090148101534638</v>
      </c>
      <c r="M45" s="14">
        <v>22.865747605945131</v>
      </c>
      <c r="N45" s="14">
        <v>1.6689620305274988</v>
      </c>
      <c r="O45" s="14">
        <v>17.40633658075701</v>
      </c>
      <c r="P45" s="14">
        <v>5.447963543292067</v>
      </c>
      <c r="Q45" s="14">
        <v>0.45970488580706625</v>
      </c>
      <c r="R45" s="14">
        <v>89.610023289761557</v>
      </c>
      <c r="S45" s="14">
        <v>57.476829750025573</v>
      </c>
      <c r="T45" s="14">
        <v>7.576517438348862</v>
      </c>
      <c r="U45" s="14">
        <v>18.974828306050696</v>
      </c>
      <c r="V45" s="14">
        <v>50.737838920260167</v>
      </c>
      <c r="W45" s="14">
        <v>9.9446574552396036</v>
      </c>
      <c r="X45" s="14">
        <v>56.411912129462415</v>
      </c>
      <c r="Y45" s="14">
        <v>72.189993693615165</v>
      </c>
      <c r="Z45" s="14">
        <v>49.101304801130027</v>
      </c>
      <c r="AA45" s="14">
        <v>63.278363392580559</v>
      </c>
      <c r="AB45" s="14">
        <v>48.227087590467754</v>
      </c>
      <c r="AC45" s="14">
        <v>42.06879891626312</v>
      </c>
      <c r="AD45" s="14">
        <v>23.504779772663476</v>
      </c>
      <c r="AE45" s="14">
        <v>94.11975641176744</v>
      </c>
      <c r="AF45" s="14">
        <v>24.21115151048636</v>
      </c>
      <c r="AG45" s="14">
        <v>54.533155340394067</v>
      </c>
      <c r="AH45" s="14">
        <v>64.263090922910919</v>
      </c>
      <c r="AI45" s="14">
        <v>15.214884860344569</v>
      </c>
      <c r="AJ45" s="14">
        <v>52.972896351728295</v>
      </c>
      <c r="AK45" s="14">
        <v>5.4538994953420294</v>
      </c>
      <c r="AL45" s="14">
        <v>14.462095222776517</v>
      </c>
      <c r="AM45" s="14">
        <v>40.203613641756931</v>
      </c>
      <c r="AN45" s="14">
        <v>33.071258354578227</v>
      </c>
      <c r="AO45" s="14">
        <v>3.7759639594572181</v>
      </c>
      <c r="AP45" s="14">
        <v>76.740564924052308</v>
      </c>
      <c r="AQ45" s="14">
        <v>72.266753087984725</v>
      </c>
      <c r="AR45" s="14">
        <v>42.783446929874913</v>
      </c>
      <c r="AS45" s="14">
        <v>69.271057309099973</v>
      </c>
      <c r="AT45" s="14">
        <v>10.745581468297939</v>
      </c>
      <c r="AU45" s="14">
        <v>27.087555300709521</v>
      </c>
      <c r="AV45" s="14">
        <v>25.968984023293096</v>
      </c>
      <c r="AW45" s="14">
        <v>13.864182135505986</v>
      </c>
      <c r="AX45" s="14">
        <v>74.475723369127294</v>
      </c>
      <c r="AY45" s="14">
        <v>8.0942571339589708</v>
      </c>
      <c r="AZ45" s="14">
        <v>7.7516932198056772</v>
      </c>
      <c r="BA45" s="14">
        <v>7.7287580588182081</v>
      </c>
      <c r="BB45" s="14">
        <v>61.475191952304833</v>
      </c>
      <c r="BC45" s="14">
        <v>2.5743072636203568</v>
      </c>
      <c r="BD45" s="14">
        <v>55.177070054295775</v>
      </c>
    </row>
    <row r="46" spans="1:56" x14ac:dyDescent="0.3">
      <c r="A46" s="19">
        <v>2014</v>
      </c>
      <c r="B46" s="8" t="s">
        <v>92</v>
      </c>
      <c r="C46" s="8" t="str">
        <f t="shared" si="2"/>
        <v>UT</v>
      </c>
      <c r="D46" s="8" t="str">
        <f t="shared" si="3"/>
        <v>犹他州</v>
      </c>
      <c r="E46" s="15">
        <v>73.029249082447251</v>
      </c>
      <c r="F46" s="15">
        <v>14.009404600882579</v>
      </c>
      <c r="G46" s="15">
        <v>95.535731576464428</v>
      </c>
      <c r="H46" s="15">
        <v>22.549051832130328</v>
      </c>
      <c r="I46" s="15">
        <v>77.91216070105061</v>
      </c>
      <c r="J46" s="15">
        <v>86.598245272289304</v>
      </c>
      <c r="K46" s="15">
        <v>27.134397401926247</v>
      </c>
      <c r="L46" s="15">
        <v>29.614459022340444</v>
      </c>
      <c r="M46" s="15">
        <v>96.17473768660534</v>
      </c>
      <c r="N46" s="15">
        <v>9.9276275121018447</v>
      </c>
      <c r="O46" s="15">
        <v>45.895991133302957</v>
      </c>
      <c r="P46" s="15">
        <v>17.463608945580798</v>
      </c>
      <c r="Q46" s="15">
        <v>53.198385523072631</v>
      </c>
      <c r="R46" s="15">
        <v>6.4118300250148641</v>
      </c>
      <c r="S46" s="15">
        <v>27.725213625551582</v>
      </c>
      <c r="T46" s="15">
        <v>98.381527077648414</v>
      </c>
      <c r="U46" s="15">
        <v>63.978578402196142</v>
      </c>
      <c r="V46" s="15">
        <v>84.24700141529749</v>
      </c>
      <c r="W46" s="15">
        <v>74.88398095883764</v>
      </c>
      <c r="X46" s="15">
        <v>16.62903474684061</v>
      </c>
      <c r="Y46" s="15">
        <v>54.386458256028178</v>
      </c>
      <c r="Z46" s="15">
        <v>28.085082202188939</v>
      </c>
      <c r="AA46" s="15">
        <v>81.431087668491415</v>
      </c>
      <c r="AB46" s="15">
        <v>94.976928583169993</v>
      </c>
      <c r="AC46" s="15">
        <v>27.026043499962672</v>
      </c>
      <c r="AD46" s="15">
        <v>53.730469452745858</v>
      </c>
      <c r="AE46" s="15">
        <v>9.4593859263763402</v>
      </c>
      <c r="AF46" s="15">
        <v>25.885810709530389</v>
      </c>
      <c r="AG46" s="15">
        <v>90.571175292800618</v>
      </c>
      <c r="AH46" s="15">
        <v>56.266394431716193</v>
      </c>
      <c r="AI46" s="15">
        <v>67.590790414518011</v>
      </c>
      <c r="AJ46" s="15">
        <v>93.453742059302698</v>
      </c>
      <c r="AK46" s="15">
        <v>56.277622474015743</v>
      </c>
      <c r="AL46" s="15">
        <v>4.2927220455656894</v>
      </c>
      <c r="AM46" s="15">
        <v>25.916480435919443</v>
      </c>
      <c r="AN46" s="15">
        <v>95.919598747424544</v>
      </c>
      <c r="AO46" s="15">
        <v>41.431530432516027</v>
      </c>
      <c r="AP46" s="15">
        <v>50.75756563877146</v>
      </c>
      <c r="AQ46" s="15">
        <v>84.875613237913527</v>
      </c>
      <c r="AR46" s="15">
        <v>52.281771854540828</v>
      </c>
      <c r="AS46" s="15">
        <v>95.658405310960873</v>
      </c>
      <c r="AT46" s="15">
        <v>87.843009564600777</v>
      </c>
      <c r="AU46" s="15">
        <v>5.017522979177091</v>
      </c>
      <c r="AV46" s="15">
        <v>27.398535658623114</v>
      </c>
      <c r="AW46" s="15">
        <v>2.9817919543376648</v>
      </c>
      <c r="AX46" s="15">
        <v>3.1060308757260069</v>
      </c>
      <c r="AY46" s="15">
        <v>7.6333528708614207</v>
      </c>
      <c r="AZ46" s="15">
        <v>2.1337941069279442</v>
      </c>
      <c r="BA46" s="15">
        <v>42.13461601791294</v>
      </c>
      <c r="BB46" s="15">
        <v>46.185125368100401</v>
      </c>
      <c r="BC46" s="15">
        <v>45.893229884778933</v>
      </c>
      <c r="BD46" s="15">
        <v>48.015785569697279</v>
      </c>
    </row>
    <row r="47" spans="1:56" x14ac:dyDescent="0.3">
      <c r="A47" s="18">
        <v>2014</v>
      </c>
      <c r="B47" s="6" t="s">
        <v>94</v>
      </c>
      <c r="C47" s="6" t="str">
        <f t="shared" si="2"/>
        <v>VT</v>
      </c>
      <c r="D47" s="6" t="str">
        <f t="shared" si="3"/>
        <v>佛蒙特州</v>
      </c>
      <c r="E47" s="14">
        <v>41.257974118529447</v>
      </c>
      <c r="F47" s="14">
        <v>97.881655734930973</v>
      </c>
      <c r="G47" s="14">
        <v>99.789910441363332</v>
      </c>
      <c r="H47" s="14">
        <v>16.004293024068218</v>
      </c>
      <c r="I47" s="14">
        <v>66.380124582707737</v>
      </c>
      <c r="J47" s="14">
        <v>69.730671558994629</v>
      </c>
      <c r="K47" s="14">
        <v>38.623140431981753</v>
      </c>
      <c r="L47" s="14">
        <v>70.872378646027371</v>
      </c>
      <c r="M47" s="14">
        <v>12.319814743012481</v>
      </c>
      <c r="N47" s="14">
        <v>8.8135305485884103</v>
      </c>
      <c r="O47" s="14">
        <v>93.843134743293319</v>
      </c>
      <c r="P47" s="14">
        <v>41.583168552886498</v>
      </c>
      <c r="Q47" s="14">
        <v>75.467128283895207</v>
      </c>
      <c r="R47" s="14">
        <v>59.081683407122654</v>
      </c>
      <c r="S47" s="14">
        <v>92.13928133706473</v>
      </c>
      <c r="T47" s="14">
        <v>79.13032526554278</v>
      </c>
      <c r="U47" s="14">
        <v>20.267752148033313</v>
      </c>
      <c r="V47" s="14">
        <v>63.285510253559949</v>
      </c>
      <c r="W47" s="14">
        <v>1.9800676246372828</v>
      </c>
      <c r="X47" s="14">
        <v>44.318573750806543</v>
      </c>
      <c r="Y47" s="14">
        <v>50.839403877873458</v>
      </c>
      <c r="Z47" s="14">
        <v>10.564297708706484</v>
      </c>
      <c r="AA47" s="14">
        <v>76.410470751325434</v>
      </c>
      <c r="AB47" s="14">
        <v>45.374035473046156</v>
      </c>
      <c r="AC47" s="14">
        <v>41.494516369886512</v>
      </c>
      <c r="AD47" s="14">
        <v>67.209576295056294</v>
      </c>
      <c r="AE47" s="14">
        <v>50.446301019298765</v>
      </c>
      <c r="AF47" s="14">
        <v>43.331096403091706</v>
      </c>
      <c r="AG47" s="14">
        <v>97.636571887046884</v>
      </c>
      <c r="AH47" s="14">
        <v>92.935611718691973</v>
      </c>
      <c r="AI47" s="14">
        <v>77.072798520964398</v>
      </c>
      <c r="AJ47" s="14">
        <v>2.4365732358718639</v>
      </c>
      <c r="AK47" s="14">
        <v>41.178902037769902</v>
      </c>
      <c r="AL47" s="14">
        <v>19.331990746805371</v>
      </c>
      <c r="AM47" s="14">
        <v>97.168707351232698</v>
      </c>
      <c r="AN47" s="14">
        <v>48.961993617912469</v>
      </c>
      <c r="AO47" s="14">
        <v>35.669390264790493</v>
      </c>
      <c r="AP47" s="14">
        <v>8.1106719759411305</v>
      </c>
      <c r="AQ47" s="14">
        <v>68.728377348030676</v>
      </c>
      <c r="AR47" s="14">
        <v>12.687970520731573</v>
      </c>
      <c r="AS47" s="14">
        <v>39.343791819642163</v>
      </c>
      <c r="AT47" s="14">
        <v>35.509187642410026</v>
      </c>
      <c r="AU47" s="14">
        <v>44.562658314175209</v>
      </c>
      <c r="AV47" s="14">
        <v>97.03887351860665</v>
      </c>
      <c r="AW47" s="14">
        <v>84.376295741314848</v>
      </c>
      <c r="AX47" s="14">
        <v>16.433931799800796</v>
      </c>
      <c r="AY47" s="14">
        <v>51.147495365155095</v>
      </c>
      <c r="AZ47" s="14">
        <v>28.854793841424598</v>
      </c>
      <c r="BA47" s="14">
        <v>29.109413008122608</v>
      </c>
      <c r="BB47" s="14">
        <v>33.259353369115352</v>
      </c>
      <c r="BC47" s="14">
        <v>62.202632071485077</v>
      </c>
      <c r="BD47" s="14">
        <v>94.963934633304149</v>
      </c>
    </row>
    <row r="48" spans="1:56" x14ac:dyDescent="0.3">
      <c r="A48" s="19">
        <v>2014</v>
      </c>
      <c r="B48" s="8" t="s">
        <v>96</v>
      </c>
      <c r="C48" s="8" t="str">
        <f t="shared" si="2"/>
        <v>VA</v>
      </c>
      <c r="D48" s="8" t="str">
        <f t="shared" si="3"/>
        <v>维吉尼亚州</v>
      </c>
      <c r="E48" s="15">
        <v>63.914492398517972</v>
      </c>
      <c r="F48" s="15">
        <v>81.5098135671861</v>
      </c>
      <c r="G48" s="15">
        <v>6.896041016609356</v>
      </c>
      <c r="H48" s="15">
        <v>67.097563540630063</v>
      </c>
      <c r="I48" s="15">
        <v>71.952894307801216</v>
      </c>
      <c r="J48" s="15">
        <v>70.71074073769627</v>
      </c>
      <c r="K48" s="15">
        <v>54.665170855714337</v>
      </c>
      <c r="L48" s="15">
        <v>65.095882916305811</v>
      </c>
      <c r="M48" s="15">
        <v>50.816268940073847</v>
      </c>
      <c r="N48" s="15">
        <v>85.870527718024476</v>
      </c>
      <c r="O48" s="15">
        <v>7.0607531378591766</v>
      </c>
      <c r="P48" s="15">
        <v>77.896006626060498</v>
      </c>
      <c r="Q48" s="15">
        <v>28.828068900865379</v>
      </c>
      <c r="R48" s="15">
        <v>75.647857259097123</v>
      </c>
      <c r="S48" s="15">
        <v>78.283465536697349</v>
      </c>
      <c r="T48" s="15">
        <v>40.55779777083368</v>
      </c>
      <c r="U48" s="15">
        <v>93.670973884448642</v>
      </c>
      <c r="V48" s="15">
        <v>28.623252902997464</v>
      </c>
      <c r="W48" s="15">
        <v>45.165608100585111</v>
      </c>
      <c r="X48" s="15">
        <v>41.57719159379949</v>
      </c>
      <c r="Y48" s="15">
        <v>5.0079211290238508</v>
      </c>
      <c r="Z48" s="15">
        <v>0.73982638725681449</v>
      </c>
      <c r="AA48" s="15">
        <v>32.928623791277609</v>
      </c>
      <c r="AB48" s="15">
        <v>46.750837121374481</v>
      </c>
      <c r="AC48" s="15">
        <v>40.783296041039648</v>
      </c>
      <c r="AD48" s="15">
        <v>58.641261430397606</v>
      </c>
      <c r="AE48" s="15">
        <v>69.394591309453347</v>
      </c>
      <c r="AF48" s="15">
        <v>38.387624751393687</v>
      </c>
      <c r="AG48" s="15">
        <v>89.256922128482046</v>
      </c>
      <c r="AH48" s="15">
        <v>78.593045645405908</v>
      </c>
      <c r="AI48" s="15">
        <v>57.476196375966303</v>
      </c>
      <c r="AJ48" s="15">
        <v>37.062354265807819</v>
      </c>
      <c r="AK48" s="15">
        <v>28.279402745451211</v>
      </c>
      <c r="AL48" s="15">
        <v>85.964668773475907</v>
      </c>
      <c r="AM48" s="15">
        <v>64.343277127040437</v>
      </c>
      <c r="AN48" s="15">
        <v>11.24553947652689</v>
      </c>
      <c r="AO48" s="15">
        <v>21.874182625431125</v>
      </c>
      <c r="AP48" s="15">
        <v>55.710335759683716</v>
      </c>
      <c r="AQ48" s="15">
        <v>76.705606376748875</v>
      </c>
      <c r="AR48" s="15">
        <v>6.4565154947469283</v>
      </c>
      <c r="AS48" s="15">
        <v>47.435210921661586</v>
      </c>
      <c r="AT48" s="15">
        <v>1.3918759499776501</v>
      </c>
      <c r="AU48" s="15">
        <v>79.176659499165822</v>
      </c>
      <c r="AV48" s="15">
        <v>84.067433433297751</v>
      </c>
      <c r="AW48" s="15">
        <v>19.09733844981033</v>
      </c>
      <c r="AX48" s="15">
        <v>42.96556478143502</v>
      </c>
      <c r="AY48" s="15">
        <v>3.0381189717659463</v>
      </c>
      <c r="AZ48" s="15">
        <v>93.863974251857059</v>
      </c>
      <c r="BA48" s="15">
        <v>70.315717683101894</v>
      </c>
      <c r="BB48" s="15">
        <v>51.215153623503227</v>
      </c>
      <c r="BC48" s="15">
        <v>60.914933280637328</v>
      </c>
      <c r="BD48" s="15">
        <v>63.716352438595472</v>
      </c>
    </row>
    <row r="49" spans="1:56" x14ac:dyDescent="0.3">
      <c r="A49" s="18">
        <v>2014</v>
      </c>
      <c r="B49" s="6" t="s">
        <v>98</v>
      </c>
      <c r="C49" s="6" t="str">
        <f t="shared" si="2"/>
        <v>WA</v>
      </c>
      <c r="D49" s="6" t="str">
        <f t="shared" si="3"/>
        <v>华盛顿</v>
      </c>
      <c r="E49" s="14">
        <v>37.090973412683148</v>
      </c>
      <c r="F49" s="14">
        <v>0.2779382357953164</v>
      </c>
      <c r="G49" s="14">
        <v>69.099188047269749</v>
      </c>
      <c r="H49" s="14">
        <v>21.184875861588338</v>
      </c>
      <c r="I49" s="14">
        <v>68.868191611907321</v>
      </c>
      <c r="J49" s="14">
        <v>32.669695341300965</v>
      </c>
      <c r="K49" s="14">
        <v>27.268066807369639</v>
      </c>
      <c r="L49" s="14">
        <v>52.541735147579907</v>
      </c>
      <c r="M49" s="14">
        <v>30.74730752389614</v>
      </c>
      <c r="N49" s="14">
        <v>27.433116009068826</v>
      </c>
      <c r="O49" s="14">
        <v>14.430155906084119</v>
      </c>
      <c r="P49" s="14">
        <v>96.440446244418894</v>
      </c>
      <c r="Q49" s="14">
        <v>62.130185418854587</v>
      </c>
      <c r="R49" s="14">
        <v>94.103647152959468</v>
      </c>
      <c r="S49" s="14">
        <v>28.939062269713013</v>
      </c>
      <c r="T49" s="14">
        <v>69.183594554370345</v>
      </c>
      <c r="U49" s="14">
        <v>19.220884215343425</v>
      </c>
      <c r="V49" s="14">
        <v>86.484162643706085</v>
      </c>
      <c r="W49" s="14">
        <v>70.393034198635078</v>
      </c>
      <c r="X49" s="14">
        <v>81.475209849553238</v>
      </c>
      <c r="Y49" s="14">
        <v>64.059046210975836</v>
      </c>
      <c r="Z49" s="14">
        <v>38.466105438676067</v>
      </c>
      <c r="AA49" s="14">
        <v>56.779451882579245</v>
      </c>
      <c r="AB49" s="14">
        <v>17.102728350089723</v>
      </c>
      <c r="AC49" s="14">
        <v>26.808075702068212</v>
      </c>
      <c r="AD49" s="14">
        <v>95.559692477084766</v>
      </c>
      <c r="AE49" s="14">
        <v>8.7110545743628087</v>
      </c>
      <c r="AF49" s="14">
        <v>60.265040430011375</v>
      </c>
      <c r="AG49" s="14">
        <v>13.026059560731918</v>
      </c>
      <c r="AH49" s="14">
        <v>47.294787231896116</v>
      </c>
      <c r="AI49" s="14">
        <v>89.909676778598509</v>
      </c>
      <c r="AJ49" s="14">
        <v>56.301461792553894</v>
      </c>
      <c r="AK49" s="14">
        <v>1.2128149887970396</v>
      </c>
      <c r="AL49" s="14">
        <v>45.277899630150223</v>
      </c>
      <c r="AM49" s="14">
        <v>99.632489656223527</v>
      </c>
      <c r="AN49" s="14">
        <v>19.794906563289295</v>
      </c>
      <c r="AO49" s="14">
        <v>30.962452842558175</v>
      </c>
      <c r="AP49" s="14">
        <v>35.854267395162779</v>
      </c>
      <c r="AQ49" s="14">
        <v>60.446306838605722</v>
      </c>
      <c r="AR49" s="14">
        <v>28.403038513374369</v>
      </c>
      <c r="AS49" s="14">
        <v>16.733066880330828</v>
      </c>
      <c r="AT49" s="14">
        <v>72.432864713316661</v>
      </c>
      <c r="AU49" s="14">
        <v>23.644231699331097</v>
      </c>
      <c r="AV49" s="14">
        <v>70.083859846927808</v>
      </c>
      <c r="AW49" s="14">
        <v>34.052314581551215</v>
      </c>
      <c r="AX49" s="14">
        <v>95.33621278430077</v>
      </c>
      <c r="AY49" s="14">
        <v>42.097705920002667</v>
      </c>
      <c r="AZ49" s="14">
        <v>35.967521707486306</v>
      </c>
      <c r="BA49" s="14">
        <v>75.877475190587248</v>
      </c>
      <c r="BB49" s="14">
        <v>69.350177288929018</v>
      </c>
      <c r="BC49" s="14">
        <v>6.0258261105157533</v>
      </c>
      <c r="BD49" s="14">
        <v>97.273076322259939</v>
      </c>
    </row>
    <row r="50" spans="1:56" x14ac:dyDescent="0.3">
      <c r="A50" s="19">
        <v>2014</v>
      </c>
      <c r="B50" s="8" t="s">
        <v>100</v>
      </c>
      <c r="C50" s="8" t="str">
        <f t="shared" si="2"/>
        <v>WV</v>
      </c>
      <c r="D50" s="8" t="str">
        <f t="shared" si="3"/>
        <v>西维吉尼亚州</v>
      </c>
      <c r="E50" s="15">
        <v>99.395523380901679</v>
      </c>
      <c r="F50" s="15">
        <v>42.13502845467989</v>
      </c>
      <c r="G50" s="15">
        <v>83.507246183860858</v>
      </c>
      <c r="H50" s="15">
        <v>18.139919793345783</v>
      </c>
      <c r="I50" s="15">
        <v>80.202829591750827</v>
      </c>
      <c r="J50" s="15">
        <v>27.603036109418845</v>
      </c>
      <c r="K50" s="15">
        <v>70.690245842925592</v>
      </c>
      <c r="L50" s="15">
        <v>57.77770714882179</v>
      </c>
      <c r="M50" s="15">
        <v>55.07974129754205</v>
      </c>
      <c r="N50" s="15">
        <v>50.615060721650572</v>
      </c>
      <c r="O50" s="15">
        <v>3.9200338468111884</v>
      </c>
      <c r="P50" s="15">
        <v>24.380171015054188</v>
      </c>
      <c r="Q50" s="15">
        <v>57.860073063937591</v>
      </c>
      <c r="R50" s="15">
        <v>61.855694461401477</v>
      </c>
      <c r="S50" s="15">
        <v>84.099660063970674</v>
      </c>
      <c r="T50" s="15">
        <v>62.415623894064154</v>
      </c>
      <c r="U50" s="15">
        <v>11.905372251588719</v>
      </c>
      <c r="V50" s="15">
        <v>52.263410487943482</v>
      </c>
      <c r="W50" s="15">
        <v>28.713664057699862</v>
      </c>
      <c r="X50" s="15">
        <v>2.9367923429271081</v>
      </c>
      <c r="Y50" s="15">
        <v>36.779345206654511</v>
      </c>
      <c r="Z50" s="15">
        <v>71.610235490929469</v>
      </c>
      <c r="AA50" s="15">
        <v>59.302508771182019</v>
      </c>
      <c r="AB50" s="15">
        <v>86.641666041561976</v>
      </c>
      <c r="AC50" s="15">
        <v>48.464921964954357</v>
      </c>
      <c r="AD50" s="15">
        <v>40.425819084616656</v>
      </c>
      <c r="AE50" s="15">
        <v>89.411998732850691</v>
      </c>
      <c r="AF50" s="15">
        <v>43.357115910970855</v>
      </c>
      <c r="AG50" s="15">
        <v>89.946739810101633</v>
      </c>
      <c r="AH50" s="15">
        <v>97.50979581819962</v>
      </c>
      <c r="AI50" s="15">
        <v>59.282138592113633</v>
      </c>
      <c r="AJ50" s="15">
        <v>16.903767523923786</v>
      </c>
      <c r="AK50" s="15">
        <v>84.741191560094293</v>
      </c>
      <c r="AL50" s="15">
        <v>91.00961284881906</v>
      </c>
      <c r="AM50" s="15">
        <v>66.392224909137482</v>
      </c>
      <c r="AN50" s="15">
        <v>98.443348001371788</v>
      </c>
      <c r="AO50" s="15">
        <v>82.823599649853378</v>
      </c>
      <c r="AP50" s="15">
        <v>91.85100324967604</v>
      </c>
      <c r="AQ50" s="15">
        <v>17.337409721237883</v>
      </c>
      <c r="AR50" s="15">
        <v>67.236660337130601</v>
      </c>
      <c r="AS50" s="15">
        <v>34.099169170693123</v>
      </c>
      <c r="AT50" s="15">
        <v>6.5869364437247002</v>
      </c>
      <c r="AU50" s="15">
        <v>63.147513953736755</v>
      </c>
      <c r="AV50" s="15">
        <v>11.136914262423058</v>
      </c>
      <c r="AW50" s="15">
        <v>92.348043009847075</v>
      </c>
      <c r="AX50" s="15">
        <v>13.916296000318395</v>
      </c>
      <c r="AY50" s="15">
        <v>11.872993511912345</v>
      </c>
      <c r="AZ50" s="15">
        <v>29.273209427133452</v>
      </c>
      <c r="BA50" s="15">
        <v>84.451238101259534</v>
      </c>
      <c r="BB50" s="15">
        <v>33.524910860548694</v>
      </c>
      <c r="BC50" s="15">
        <v>61.708118303932658</v>
      </c>
      <c r="BD50" s="15">
        <v>70.430721152513826</v>
      </c>
    </row>
    <row r="51" spans="1:56" x14ac:dyDescent="0.3">
      <c r="A51" s="18">
        <v>2014</v>
      </c>
      <c r="B51" s="6" t="s">
        <v>102</v>
      </c>
      <c r="C51" s="6" t="str">
        <f t="shared" si="2"/>
        <v>WI</v>
      </c>
      <c r="D51" s="6" t="str">
        <f t="shared" si="3"/>
        <v>威斯康辛州</v>
      </c>
      <c r="E51" s="14">
        <v>32.353233119748658</v>
      </c>
      <c r="F51" s="14">
        <v>29.693218617928498</v>
      </c>
      <c r="G51" s="14">
        <v>48.69475643085449</v>
      </c>
      <c r="H51" s="14">
        <v>48.162873221421584</v>
      </c>
      <c r="I51" s="14">
        <v>53.502878109342412</v>
      </c>
      <c r="J51" s="14">
        <v>97.031850174435192</v>
      </c>
      <c r="K51" s="14">
        <v>92.641046860804423</v>
      </c>
      <c r="L51" s="14">
        <v>5.0685449188283327</v>
      </c>
      <c r="M51" s="14">
        <v>39.802916322978795</v>
      </c>
      <c r="N51" s="14">
        <v>14.558647865535923</v>
      </c>
      <c r="O51" s="14">
        <v>85.991767218768132</v>
      </c>
      <c r="P51" s="14">
        <v>87.284494343839768</v>
      </c>
      <c r="Q51" s="14">
        <v>15.347853653310583</v>
      </c>
      <c r="R51" s="14">
        <v>6.500539937248706</v>
      </c>
      <c r="S51" s="14">
        <v>63.484938752539058</v>
      </c>
      <c r="T51" s="14">
        <v>23.157116454667602</v>
      </c>
      <c r="U51" s="14">
        <v>60.167963643685354</v>
      </c>
      <c r="V51" s="14">
        <v>77.037372556727121</v>
      </c>
      <c r="W51" s="14">
        <v>34.471209862697918</v>
      </c>
      <c r="X51" s="14">
        <v>38.713600951320295</v>
      </c>
      <c r="Y51" s="14">
        <v>43.061064798412914</v>
      </c>
      <c r="Z51" s="14">
        <v>55.422418455578537</v>
      </c>
      <c r="AA51" s="14">
        <v>22.265540751450864</v>
      </c>
      <c r="AB51" s="14">
        <v>86.420945876380316</v>
      </c>
      <c r="AC51" s="14">
        <v>45.904198572171225</v>
      </c>
      <c r="AD51" s="14">
        <v>19.549433933513637</v>
      </c>
      <c r="AE51" s="14">
        <v>14.731046029738881</v>
      </c>
      <c r="AF51" s="14">
        <v>97.526247795895372</v>
      </c>
      <c r="AG51" s="14">
        <v>82.12524654810727</v>
      </c>
      <c r="AH51" s="14">
        <v>66.057019448935591</v>
      </c>
      <c r="AI51" s="14">
        <v>73.281535078806002</v>
      </c>
      <c r="AJ51" s="14">
        <v>65.007565678846703</v>
      </c>
      <c r="AK51" s="14">
        <v>49.028455741652422</v>
      </c>
      <c r="AL51" s="14">
        <v>83.848523117161491</v>
      </c>
      <c r="AM51" s="14">
        <v>15.591787196090291</v>
      </c>
      <c r="AN51" s="14">
        <v>93.863942737716627</v>
      </c>
      <c r="AO51" s="14">
        <v>58.630204753321337</v>
      </c>
      <c r="AP51" s="14">
        <v>33.235919994332619</v>
      </c>
      <c r="AQ51" s="14">
        <v>76.833964540120732</v>
      </c>
      <c r="AR51" s="14">
        <v>10.95283172596001</v>
      </c>
      <c r="AS51" s="14">
        <v>74.371201692878358</v>
      </c>
      <c r="AT51" s="14">
        <v>81.648842942646681</v>
      </c>
      <c r="AU51" s="14">
        <v>1.432583203596649</v>
      </c>
      <c r="AV51" s="14">
        <v>76.924516164686722</v>
      </c>
      <c r="AW51" s="14">
        <v>48.837553260934506</v>
      </c>
      <c r="AX51" s="14">
        <v>70.061303606135567</v>
      </c>
      <c r="AY51" s="14">
        <v>95.229113256433749</v>
      </c>
      <c r="AZ51" s="14">
        <v>56.915338949535609</v>
      </c>
      <c r="BA51" s="14">
        <v>84.253368281316028</v>
      </c>
      <c r="BB51" s="14">
        <v>98.185648145674548</v>
      </c>
      <c r="BC51" s="14">
        <v>83.749327940798665</v>
      </c>
      <c r="BD51" s="14">
        <v>81.060259942720307</v>
      </c>
    </row>
    <row r="52" spans="1:56" x14ac:dyDescent="0.3">
      <c r="A52" s="19">
        <v>2014</v>
      </c>
      <c r="B52" s="8" t="s">
        <v>104</v>
      </c>
      <c r="C52" s="8" t="str">
        <f t="shared" si="2"/>
        <v>WY</v>
      </c>
      <c r="D52" s="8" t="str">
        <f t="shared" si="3"/>
        <v>怀俄明</v>
      </c>
      <c r="E52" s="15">
        <v>17.976402296674699</v>
      </c>
      <c r="F52" s="15">
        <v>38.786400997708611</v>
      </c>
      <c r="G52" s="15">
        <v>25.089411190512788</v>
      </c>
      <c r="H52" s="15">
        <v>2.5556670634150347</v>
      </c>
      <c r="I52" s="15">
        <v>46.123363806526655</v>
      </c>
      <c r="J52" s="15">
        <v>50.790613570602005</v>
      </c>
      <c r="K52" s="15">
        <v>51.411966378194464</v>
      </c>
      <c r="L52" s="15">
        <v>13.54355475136364</v>
      </c>
      <c r="M52" s="15">
        <v>60.063041912620861</v>
      </c>
      <c r="N52" s="15">
        <v>2.0245076964015007</v>
      </c>
      <c r="O52" s="15">
        <v>31.548115371699804</v>
      </c>
      <c r="P52" s="15">
        <v>57.734562948308898</v>
      </c>
      <c r="Q52" s="15">
        <v>17.909816180639716</v>
      </c>
      <c r="R52" s="15">
        <v>76.276306498835083</v>
      </c>
      <c r="S52" s="15">
        <v>94.00238451491677</v>
      </c>
      <c r="T52" s="15">
        <v>96.960390155088405</v>
      </c>
      <c r="U52" s="15">
        <v>69.589946804533355</v>
      </c>
      <c r="V52" s="15">
        <v>22.939657885642738</v>
      </c>
      <c r="W52" s="15">
        <v>2.5210804989015068</v>
      </c>
      <c r="X52" s="15">
        <v>77.627972736629218</v>
      </c>
      <c r="Y52" s="15">
        <v>82.729353331731673</v>
      </c>
      <c r="Z52" s="15">
        <v>30.827164454492785</v>
      </c>
      <c r="AA52" s="15">
        <v>10.124867715688302</v>
      </c>
      <c r="AB52" s="15">
        <v>38.964449893423911</v>
      </c>
      <c r="AC52" s="15">
        <v>71.297335107075568</v>
      </c>
      <c r="AD52" s="15">
        <v>64.808887125785205</v>
      </c>
      <c r="AE52" s="15">
        <v>74.081031117288305</v>
      </c>
      <c r="AF52" s="15">
        <v>7.5861946408668501</v>
      </c>
      <c r="AG52" s="15">
        <v>34.924957270340414</v>
      </c>
      <c r="AH52" s="15">
        <v>93.109351360674665</v>
      </c>
      <c r="AI52" s="15">
        <v>28.396502354488319</v>
      </c>
      <c r="AJ52" s="15">
        <v>69.961842715549409</v>
      </c>
      <c r="AK52" s="15">
        <v>83.380935979277851</v>
      </c>
      <c r="AL52" s="15">
        <v>58.118125083499891</v>
      </c>
      <c r="AM52" s="15">
        <v>50.254236433107025</v>
      </c>
      <c r="AN52" s="15">
        <v>26.062098708455995</v>
      </c>
      <c r="AO52" s="15">
        <v>77.671732205295186</v>
      </c>
      <c r="AP52" s="15">
        <v>79.053993219659006</v>
      </c>
      <c r="AQ52" s="15">
        <v>36.117958616846323</v>
      </c>
      <c r="AR52" s="15">
        <v>16.241711104744816</v>
      </c>
      <c r="AS52" s="15">
        <v>22.460961838449091</v>
      </c>
      <c r="AT52" s="15">
        <v>43.309674554391009</v>
      </c>
      <c r="AU52" s="15">
        <v>97.411842406141915</v>
      </c>
      <c r="AV52" s="15">
        <v>10.791942113488172</v>
      </c>
      <c r="AW52" s="15">
        <v>32.795732951471187</v>
      </c>
      <c r="AX52" s="15">
        <v>86.718628212412824</v>
      </c>
      <c r="AY52" s="15">
        <v>52.082502700621738</v>
      </c>
      <c r="AZ52" s="15">
        <v>13.677587256409362</v>
      </c>
      <c r="BA52" s="15">
        <v>21.434132691071341</v>
      </c>
      <c r="BB52" s="15">
        <v>49.05654420501272</v>
      </c>
      <c r="BC52" s="15">
        <v>49.697079332108615</v>
      </c>
      <c r="BD52" s="15">
        <v>49.97900946659869</v>
      </c>
    </row>
    <row r="53" spans="1:56" x14ac:dyDescent="0.3">
      <c r="A53" s="18">
        <v>2014</v>
      </c>
      <c r="B53" s="6" t="s">
        <v>80</v>
      </c>
      <c r="C53" s="6" t="str">
        <f t="shared" si="2"/>
        <v>PR</v>
      </c>
      <c r="D53" s="6" t="str">
        <f t="shared" si="3"/>
        <v>波多黎各</v>
      </c>
      <c r="E53" s="14">
        <v>83.767421991482522</v>
      </c>
      <c r="F53" s="14">
        <v>0.70605305603601565</v>
      </c>
      <c r="G53" s="14">
        <v>25.31983793632978</v>
      </c>
      <c r="H53" s="14">
        <v>76.650302406826526</v>
      </c>
      <c r="I53" s="14">
        <v>99.767893212013931</v>
      </c>
      <c r="J53" s="14">
        <v>13.133830324197293</v>
      </c>
      <c r="K53" s="14">
        <v>70.28307113544821</v>
      </c>
      <c r="L53" s="14">
        <v>98.759919077312489</v>
      </c>
      <c r="M53" s="14">
        <v>83.321452259087636</v>
      </c>
      <c r="N53" s="14">
        <v>97.265478245804374</v>
      </c>
      <c r="O53" s="14">
        <v>22.163497774913566</v>
      </c>
      <c r="P53" s="14">
        <v>82.819028199302409</v>
      </c>
      <c r="Q53" s="14">
        <v>25.744579259667677</v>
      </c>
      <c r="R53" s="14">
        <v>73.562731324145062</v>
      </c>
      <c r="S53" s="14">
        <v>28.138134365813329</v>
      </c>
      <c r="T53" s="14">
        <v>31.259422856610076</v>
      </c>
      <c r="U53" s="14">
        <v>24.029147498254709</v>
      </c>
      <c r="V53" s="14">
        <v>56.736646110565601</v>
      </c>
      <c r="W53" s="14">
        <v>50.87933069501608</v>
      </c>
      <c r="X53" s="14">
        <v>2.1952717849168857</v>
      </c>
      <c r="Y53" s="14">
        <v>41.985079509356794</v>
      </c>
      <c r="Z53" s="14">
        <v>19.047767738743403</v>
      </c>
      <c r="AA53" s="14">
        <v>51.557679819751712</v>
      </c>
      <c r="AB53" s="14">
        <v>55.588335365509501</v>
      </c>
      <c r="AC53" s="14">
        <v>23.602445058633002</v>
      </c>
      <c r="AD53" s="14">
        <v>14.416790991600525</v>
      </c>
      <c r="AE53" s="14">
        <v>89.244223434424995</v>
      </c>
      <c r="AF53" s="14">
        <v>51.052556419472658</v>
      </c>
      <c r="AG53" s="14">
        <v>13.364643083263051</v>
      </c>
      <c r="AH53" s="14">
        <v>36.430554136994587</v>
      </c>
      <c r="AI53" s="14">
        <v>89.829570994980628</v>
      </c>
      <c r="AJ53" s="14">
        <v>5.0683770917534403</v>
      </c>
      <c r="AK53" s="14">
        <v>17.429985970795393</v>
      </c>
      <c r="AL53" s="14">
        <v>8.4667428886241236</v>
      </c>
      <c r="AM53" s="14">
        <v>25.566310296405259</v>
      </c>
      <c r="AN53" s="14">
        <v>80.93713703445286</v>
      </c>
      <c r="AO53" s="14">
        <v>88.39435836376002</v>
      </c>
      <c r="AP53" s="14">
        <v>31.839574225265622</v>
      </c>
      <c r="AQ53" s="14">
        <v>34.778333314637656</v>
      </c>
      <c r="AR53" s="14">
        <v>0.11193341975569426</v>
      </c>
      <c r="AS53" s="14">
        <v>61.187264423962077</v>
      </c>
      <c r="AT53" s="14">
        <v>47.824492923704632</v>
      </c>
      <c r="AU53" s="14">
        <v>87.998965255461627</v>
      </c>
      <c r="AV53" s="14">
        <v>64.485267720975386</v>
      </c>
      <c r="AW53" s="14">
        <v>84.887579044184022</v>
      </c>
      <c r="AX53" s="14">
        <v>63.279163573748484</v>
      </c>
      <c r="AY53" s="14">
        <v>72.192896930510813</v>
      </c>
      <c r="AZ53" s="14">
        <v>56.741506858811888</v>
      </c>
      <c r="BA53" s="14">
        <v>82.865868575001073</v>
      </c>
      <c r="BB53" s="14">
        <v>91.912139316848354</v>
      </c>
      <c r="BC53" s="14">
        <v>33.484225012996895</v>
      </c>
      <c r="BD53" s="14">
        <v>62.519889709480182</v>
      </c>
    </row>
    <row r="54" spans="1:56" x14ac:dyDescent="0.3">
      <c r="A54" s="19">
        <v>2015</v>
      </c>
      <c r="B54" s="8" t="s">
        <v>2</v>
      </c>
      <c r="C54" s="8" t="str">
        <f t="shared" si="2"/>
        <v>AL</v>
      </c>
      <c r="D54" s="8" t="str">
        <f t="shared" si="3"/>
        <v>阿拉巴马州</v>
      </c>
      <c r="E54" s="15">
        <v>13.215920086005895</v>
      </c>
      <c r="F54" s="15">
        <v>26.440035161227339</v>
      </c>
      <c r="G54" s="15">
        <v>90.041876349880752</v>
      </c>
      <c r="H54" s="15">
        <v>66.534576500103199</v>
      </c>
      <c r="I54" s="15">
        <v>46.582625872626259</v>
      </c>
      <c r="J54" s="15">
        <v>41.892549080467091</v>
      </c>
      <c r="K54" s="15">
        <v>29.462239456276873</v>
      </c>
      <c r="L54" s="15">
        <v>53.458580298530237</v>
      </c>
      <c r="M54" s="15">
        <v>41.371257049039031</v>
      </c>
      <c r="N54" s="15">
        <v>60.212096306098516</v>
      </c>
      <c r="O54" s="15">
        <v>81.788071230255127</v>
      </c>
      <c r="P54" s="15">
        <v>98.148756763644585</v>
      </c>
      <c r="Q54" s="15">
        <v>50.542520711813502</v>
      </c>
      <c r="R54" s="15">
        <v>4.3084390268233186E-2</v>
      </c>
      <c r="S54" s="15">
        <v>87.644300964894128</v>
      </c>
      <c r="T54" s="15">
        <v>8.5604689174250908</v>
      </c>
      <c r="U54" s="15">
        <v>57.854416542984175</v>
      </c>
      <c r="V54" s="15">
        <v>24.640571296458667</v>
      </c>
      <c r="W54" s="15">
        <v>17.150029029864587</v>
      </c>
      <c r="X54" s="15">
        <v>43.648300991006039</v>
      </c>
      <c r="Y54" s="15">
        <v>36.307329625967888</v>
      </c>
      <c r="Z54" s="15">
        <v>17.244965401248603</v>
      </c>
      <c r="AA54" s="15">
        <v>32.241548115915421</v>
      </c>
      <c r="AB54" s="15">
        <v>57.743941972179449</v>
      </c>
      <c r="AC54" s="15">
        <v>88.266237161930675</v>
      </c>
      <c r="AD54" s="15">
        <v>44.186868442774838</v>
      </c>
      <c r="AE54" s="15">
        <v>82.089881705395371</v>
      </c>
      <c r="AF54" s="15">
        <v>93.391703788997617</v>
      </c>
      <c r="AG54" s="15">
        <v>74.131899891766579</v>
      </c>
      <c r="AH54" s="15">
        <v>7.4788123305082994</v>
      </c>
      <c r="AI54" s="15">
        <v>57.088323158912466</v>
      </c>
      <c r="AJ54" s="15">
        <v>41.407753885240048</v>
      </c>
      <c r="AK54" s="15">
        <v>30.759830273617585</v>
      </c>
      <c r="AL54" s="15">
        <v>68.969012123672911</v>
      </c>
      <c r="AM54" s="15">
        <v>30.309720976713052</v>
      </c>
      <c r="AN54" s="15">
        <v>40.978694957770088</v>
      </c>
      <c r="AO54" s="15">
        <v>5.6124450560530725</v>
      </c>
      <c r="AP54" s="15">
        <v>36.846693980850787</v>
      </c>
      <c r="AQ54" s="15">
        <v>52.44187217292432</v>
      </c>
      <c r="AR54" s="15">
        <v>25.006857446270903</v>
      </c>
      <c r="AS54" s="15">
        <v>66.296966092914573</v>
      </c>
      <c r="AT54" s="15">
        <v>10.612111305349647</v>
      </c>
      <c r="AU54" s="15">
        <v>38.632270045970294</v>
      </c>
      <c r="AV54" s="15">
        <v>95.416946314392547</v>
      </c>
      <c r="AW54" s="15">
        <v>28.112279588785572</v>
      </c>
      <c r="AX54" s="15">
        <v>96.176425158257246</v>
      </c>
      <c r="AY54" s="15">
        <v>63.232951586641541</v>
      </c>
      <c r="AZ54" s="15">
        <v>37.727900856648944</v>
      </c>
      <c r="BA54" s="15">
        <v>72.463781469793716</v>
      </c>
      <c r="BB54" s="15">
        <v>6.5976366510276048</v>
      </c>
      <c r="BC54" s="15">
        <v>61.378311797376092</v>
      </c>
      <c r="BD54" s="15">
        <v>23.76727281663069</v>
      </c>
    </row>
    <row r="55" spans="1:56" x14ac:dyDescent="0.3">
      <c r="A55" s="18">
        <v>2015</v>
      </c>
      <c r="B55" s="6" t="s">
        <v>4</v>
      </c>
      <c r="C55" s="6" t="str">
        <f t="shared" si="2"/>
        <v>AK</v>
      </c>
      <c r="D55" s="6" t="str">
        <f t="shared" si="3"/>
        <v>阿拉斯加</v>
      </c>
      <c r="E55" s="14">
        <v>80.934810190770051</v>
      </c>
      <c r="F55" s="14">
        <v>81.065680131760772</v>
      </c>
      <c r="G55" s="14">
        <v>92.647845173814176</v>
      </c>
      <c r="H55" s="14">
        <v>44.759901022215566</v>
      </c>
      <c r="I55" s="14">
        <v>18.278213159739853</v>
      </c>
      <c r="J55" s="14">
        <v>51.841136340591888</v>
      </c>
      <c r="K55" s="14">
        <v>74.08797379619358</v>
      </c>
      <c r="L55" s="14">
        <v>36.582736583967026</v>
      </c>
      <c r="M55" s="14">
        <v>26.253958113212139</v>
      </c>
      <c r="N55" s="14">
        <v>4.1681301999772824</v>
      </c>
      <c r="O55" s="14">
        <v>70.234912829278059</v>
      </c>
      <c r="P55" s="14">
        <v>39.227482281718665</v>
      </c>
      <c r="Q55" s="14">
        <v>19.11578597991873</v>
      </c>
      <c r="R55" s="14">
        <v>55.387029167388761</v>
      </c>
      <c r="S55" s="14">
        <v>24.556402849957028</v>
      </c>
      <c r="T55" s="14">
        <v>51.170676375638067</v>
      </c>
      <c r="U55" s="14">
        <v>43.613911951185628</v>
      </c>
      <c r="V55" s="14">
        <v>53.736981668542548</v>
      </c>
      <c r="W55" s="14">
        <v>82.923048167382447</v>
      </c>
      <c r="X55" s="14">
        <v>68.380579754123588</v>
      </c>
      <c r="Y55" s="14">
        <v>35.777806050290309</v>
      </c>
      <c r="Z55" s="14">
        <v>35.631063775660444</v>
      </c>
      <c r="AA55" s="14">
        <v>24.166553414952809</v>
      </c>
      <c r="AB55" s="14">
        <v>68.523503869423038</v>
      </c>
      <c r="AC55" s="14">
        <v>47.324000770994111</v>
      </c>
      <c r="AD55" s="14">
        <v>40.147285417888391</v>
      </c>
      <c r="AE55" s="14">
        <v>18.974931614514524</v>
      </c>
      <c r="AF55" s="14">
        <v>14.266391334513884</v>
      </c>
      <c r="AG55" s="14">
        <v>3.3398103585208005</v>
      </c>
      <c r="AH55" s="14">
        <v>99.070378177167512</v>
      </c>
      <c r="AI55" s="14">
        <v>67.302938878878393</v>
      </c>
      <c r="AJ55" s="14">
        <v>12.479838255567611</v>
      </c>
      <c r="AK55" s="14">
        <v>6.1904242411934041</v>
      </c>
      <c r="AL55" s="14">
        <v>11.06178076310057</v>
      </c>
      <c r="AM55" s="14">
        <v>13.1175925592251</v>
      </c>
      <c r="AN55" s="14">
        <v>87.933692247622702</v>
      </c>
      <c r="AO55" s="14">
        <v>44.516929537514969</v>
      </c>
      <c r="AP55" s="14">
        <v>79.62248954570353</v>
      </c>
      <c r="AQ55" s="14">
        <v>76.077580923219287</v>
      </c>
      <c r="AR55" s="14">
        <v>63.548557780129158</v>
      </c>
      <c r="AS55" s="14">
        <v>31.642614737472485</v>
      </c>
      <c r="AT55" s="14">
        <v>85.615321157471669</v>
      </c>
      <c r="AU55" s="14">
        <v>63.509037482433705</v>
      </c>
      <c r="AV55" s="14">
        <v>33.169253866875849</v>
      </c>
      <c r="AW55" s="14">
        <v>72.914558150218397</v>
      </c>
      <c r="AX55" s="14">
        <v>23.464182654979371</v>
      </c>
      <c r="AY55" s="14">
        <v>15.90676973552948</v>
      </c>
      <c r="AZ55" s="14">
        <v>18.157753637457052</v>
      </c>
      <c r="BA55" s="14">
        <v>9.913843284382839</v>
      </c>
      <c r="BB55" s="14">
        <v>81.931472555633519</v>
      </c>
      <c r="BC55" s="14">
        <v>15.973915846903486</v>
      </c>
      <c r="BD55" s="14">
        <v>16.521526040495459</v>
      </c>
    </row>
    <row r="56" spans="1:56" x14ac:dyDescent="0.3">
      <c r="A56" s="19">
        <v>2015</v>
      </c>
      <c r="B56" s="8" t="s">
        <v>6</v>
      </c>
      <c r="C56" s="8" t="str">
        <f t="shared" si="2"/>
        <v>AZ</v>
      </c>
      <c r="D56" s="8" t="str">
        <f t="shared" si="3"/>
        <v>亚利桑那州</v>
      </c>
      <c r="E56" s="15">
        <v>12.994768439704574</v>
      </c>
      <c r="F56" s="15">
        <v>94.073084310772444</v>
      </c>
      <c r="G56" s="15">
        <v>6.1528660773709003</v>
      </c>
      <c r="H56" s="15">
        <v>32.245804510504513</v>
      </c>
      <c r="I56" s="15">
        <v>37.04086189103073</v>
      </c>
      <c r="J56" s="15">
        <v>7.8440012694233392</v>
      </c>
      <c r="K56" s="15">
        <v>3.825605408502819</v>
      </c>
      <c r="L56" s="15">
        <v>59.786322778519377</v>
      </c>
      <c r="M56" s="15">
        <v>6.0637406002294174</v>
      </c>
      <c r="N56" s="15">
        <v>45.209462833962142</v>
      </c>
      <c r="O56" s="15">
        <v>17.38764756025062</v>
      </c>
      <c r="P56" s="15">
        <v>72.900543493148547</v>
      </c>
      <c r="Q56" s="15">
        <v>47.394500436945656</v>
      </c>
      <c r="R56" s="15">
        <v>15.055458749053074</v>
      </c>
      <c r="S56" s="15">
        <v>83.490535244968953</v>
      </c>
      <c r="T56" s="15">
        <v>24.264033314654721</v>
      </c>
      <c r="U56" s="15">
        <v>14.108031286965861</v>
      </c>
      <c r="V56" s="15">
        <v>13.844814264498329</v>
      </c>
      <c r="W56" s="15">
        <v>95.517838589134556</v>
      </c>
      <c r="X56" s="15">
        <v>84.990288455448407</v>
      </c>
      <c r="Y56" s="15">
        <v>80.498059222726809</v>
      </c>
      <c r="Z56" s="15">
        <v>37.746418656553196</v>
      </c>
      <c r="AA56" s="15">
        <v>15.672485618664499</v>
      </c>
      <c r="AB56" s="15">
        <v>53.088850354570674</v>
      </c>
      <c r="AC56" s="15">
        <v>91.932266565681573</v>
      </c>
      <c r="AD56" s="15">
        <v>11.622395949309128</v>
      </c>
      <c r="AE56" s="15">
        <v>19.63269201572172</v>
      </c>
      <c r="AF56" s="15">
        <v>18.274649356265982</v>
      </c>
      <c r="AG56" s="15">
        <v>66.012058434926573</v>
      </c>
      <c r="AH56" s="15">
        <v>4.4554475307571835</v>
      </c>
      <c r="AI56" s="15">
        <v>7.8533550511743488</v>
      </c>
      <c r="AJ56" s="15">
        <v>40.935368781260252</v>
      </c>
      <c r="AK56" s="15">
        <v>3.3806799788197783</v>
      </c>
      <c r="AL56" s="15">
        <v>82.594089816115556</v>
      </c>
      <c r="AM56" s="15">
        <v>9.1568942884202364</v>
      </c>
      <c r="AN56" s="15">
        <v>84.258207670467016</v>
      </c>
      <c r="AO56" s="15">
        <v>45.160867628914083</v>
      </c>
      <c r="AP56" s="15">
        <v>57.782172730628787</v>
      </c>
      <c r="AQ56" s="15">
        <v>59.853939505966899</v>
      </c>
      <c r="AR56" s="15">
        <v>73.862713763445115</v>
      </c>
      <c r="AS56" s="15">
        <v>7.3546059468498015</v>
      </c>
      <c r="AT56" s="15">
        <v>82.299646269323063</v>
      </c>
      <c r="AU56" s="15">
        <v>12.914529795799645</v>
      </c>
      <c r="AV56" s="15">
        <v>71.490585471983991</v>
      </c>
      <c r="AW56" s="15">
        <v>37.287720720240046</v>
      </c>
      <c r="AX56" s="15">
        <v>53.135091108204456</v>
      </c>
      <c r="AY56" s="15">
        <v>49.278771352791715</v>
      </c>
      <c r="AZ56" s="15">
        <v>51.414949672920251</v>
      </c>
      <c r="BA56" s="15">
        <v>95.93565003679943</v>
      </c>
      <c r="BB56" s="15">
        <v>91.628237021485091</v>
      </c>
      <c r="BC56" s="15">
        <v>18.612496770618357</v>
      </c>
      <c r="BD56" s="15">
        <v>56.612227479396694</v>
      </c>
    </row>
    <row r="57" spans="1:56" x14ac:dyDescent="0.3">
      <c r="A57" s="18">
        <v>2015</v>
      </c>
      <c r="B57" s="6" t="s">
        <v>8</v>
      </c>
      <c r="C57" s="6" t="str">
        <f t="shared" si="2"/>
        <v>AR</v>
      </c>
      <c r="D57" s="6" t="str">
        <f t="shared" si="3"/>
        <v>阿肯色州</v>
      </c>
      <c r="E57" s="14">
        <v>82.934171796403575</v>
      </c>
      <c r="F57" s="14">
        <v>49.96484842833182</v>
      </c>
      <c r="G57" s="14">
        <v>3.9657729691267241</v>
      </c>
      <c r="H57" s="14">
        <v>57.905301132910516</v>
      </c>
      <c r="I57" s="14">
        <v>77.219822683260801</v>
      </c>
      <c r="J57" s="14">
        <v>36.909251105238951</v>
      </c>
      <c r="K57" s="14">
        <v>8.5342872596276269</v>
      </c>
      <c r="L57" s="14">
        <v>9.5506916804670166</v>
      </c>
      <c r="M57" s="14">
        <v>29.951371092920297</v>
      </c>
      <c r="N57" s="14">
        <v>55.823223237523344</v>
      </c>
      <c r="O57" s="14">
        <v>66.548930910906208</v>
      </c>
      <c r="P57" s="14">
        <v>37.417503827406698</v>
      </c>
      <c r="Q57" s="14">
        <v>45.728140346599389</v>
      </c>
      <c r="R57" s="14">
        <v>15.884874780265879</v>
      </c>
      <c r="S57" s="14">
        <v>88.590991909767894</v>
      </c>
      <c r="T57" s="14">
        <v>58.608332542761907</v>
      </c>
      <c r="U57" s="14">
        <v>82.802175661605588</v>
      </c>
      <c r="V57" s="14">
        <v>79.667092141295043</v>
      </c>
      <c r="W57" s="14">
        <v>56.51102184260165</v>
      </c>
      <c r="X57" s="14">
        <v>61.555326488195128</v>
      </c>
      <c r="Y57" s="14">
        <v>91.406583563731942</v>
      </c>
      <c r="Z57" s="14">
        <v>61.178329598156168</v>
      </c>
      <c r="AA57" s="14">
        <v>93.87883938760649</v>
      </c>
      <c r="AB57" s="14">
        <v>94.890957626927388</v>
      </c>
      <c r="AC57" s="14">
        <v>54.05194637751741</v>
      </c>
      <c r="AD57" s="14">
        <v>82.268592276025416</v>
      </c>
      <c r="AE57" s="14">
        <v>37.862718953030949</v>
      </c>
      <c r="AF57" s="14">
        <v>91.698611677981447</v>
      </c>
      <c r="AG57" s="14">
        <v>6.371950097071255</v>
      </c>
      <c r="AH57" s="14">
        <v>95.681141665121132</v>
      </c>
      <c r="AI57" s="14">
        <v>68.551681167512029</v>
      </c>
      <c r="AJ57" s="14">
        <v>56.37332031648922</v>
      </c>
      <c r="AK57" s="14">
        <v>64.946397233935244</v>
      </c>
      <c r="AL57" s="14">
        <v>4.6958585483076964</v>
      </c>
      <c r="AM57" s="14">
        <v>58.83320440224086</v>
      </c>
      <c r="AN57" s="14">
        <v>73.086473124048354</v>
      </c>
      <c r="AO57" s="14">
        <v>78.603816594244165</v>
      </c>
      <c r="AP57" s="14">
        <v>29.492482680832133</v>
      </c>
      <c r="AQ57" s="14">
        <v>61.820631828799321</v>
      </c>
      <c r="AR57" s="14">
        <v>28.679932316346466</v>
      </c>
      <c r="AS57" s="14">
        <v>10.447931638138186</v>
      </c>
      <c r="AT57" s="14">
        <v>94.771174862145969</v>
      </c>
      <c r="AU57" s="14">
        <v>73.403564342516049</v>
      </c>
      <c r="AV57" s="14">
        <v>1.3819983108557921</v>
      </c>
      <c r="AW57" s="14">
        <v>41.688526092980069</v>
      </c>
      <c r="AX57" s="14">
        <v>59.026755294875265</v>
      </c>
      <c r="AY57" s="14">
        <v>78.388124646486716</v>
      </c>
      <c r="AZ57" s="14">
        <v>94.877574688717388</v>
      </c>
      <c r="BA57" s="14">
        <v>91.279602079027839</v>
      </c>
      <c r="BB57" s="14">
        <v>29.008790600823108</v>
      </c>
      <c r="BC57" s="14">
        <v>69.805387572801934</v>
      </c>
      <c r="BD57" s="14">
        <v>45.418531847030266</v>
      </c>
    </row>
    <row r="58" spans="1:56" x14ac:dyDescent="0.3">
      <c r="A58" s="19">
        <v>2015</v>
      </c>
      <c r="B58" s="8" t="s">
        <v>10</v>
      </c>
      <c r="C58" s="8" t="str">
        <f t="shared" si="2"/>
        <v>CA</v>
      </c>
      <c r="D58" s="8" t="str">
        <f t="shared" si="3"/>
        <v>加州</v>
      </c>
      <c r="E58" s="15">
        <v>21.400410811981384</v>
      </c>
      <c r="F58" s="15">
        <v>55.384719162095564</v>
      </c>
      <c r="G58" s="15">
        <v>23.980079977572011</v>
      </c>
      <c r="H58" s="15">
        <v>22.411860080045688</v>
      </c>
      <c r="I58" s="15">
        <v>85.503751931395072</v>
      </c>
      <c r="J58" s="15">
        <v>32.915109308953625</v>
      </c>
      <c r="K58" s="15">
        <v>70.9709440909769</v>
      </c>
      <c r="L58" s="15">
        <v>86.323383158135258</v>
      </c>
      <c r="M58" s="15">
        <v>94.438509339673487</v>
      </c>
      <c r="N58" s="15">
        <v>60.094133996071875</v>
      </c>
      <c r="O58" s="15">
        <v>37.62146731732561</v>
      </c>
      <c r="P58" s="15">
        <v>50.682440889518624</v>
      </c>
      <c r="Q58" s="15">
        <v>42.848027818042944</v>
      </c>
      <c r="R58" s="15">
        <v>28.811767929088404</v>
      </c>
      <c r="S58" s="15">
        <v>33.798482713559984</v>
      </c>
      <c r="T58" s="15">
        <v>25.103560514253353</v>
      </c>
      <c r="U58" s="15">
        <v>53.915097621987307</v>
      </c>
      <c r="V58" s="15">
        <v>64.128466610261313</v>
      </c>
      <c r="W58" s="15">
        <v>31.500212363071</v>
      </c>
      <c r="X58" s="15">
        <v>7.2432933219847566</v>
      </c>
      <c r="Y58" s="15">
        <v>20.202539559568788</v>
      </c>
      <c r="Z58" s="15">
        <v>78.19035239325629</v>
      </c>
      <c r="AA58" s="15">
        <v>61.435740359026411</v>
      </c>
      <c r="AB58" s="15">
        <v>11.64976370858014</v>
      </c>
      <c r="AC58" s="15">
        <v>96.801398158869247</v>
      </c>
      <c r="AD58" s="15">
        <v>22.895432385982616</v>
      </c>
      <c r="AE58" s="15">
        <v>66.43861190768699</v>
      </c>
      <c r="AF58" s="15">
        <v>83.966844966960181</v>
      </c>
      <c r="AG58" s="15">
        <v>68.400127804329543</v>
      </c>
      <c r="AH58" s="15">
        <v>69.97441872704421</v>
      </c>
      <c r="AI58" s="15">
        <v>19.577345370370846</v>
      </c>
      <c r="AJ58" s="15">
        <v>40.195487005658983</v>
      </c>
      <c r="AK58" s="15">
        <v>74.342475150000141</v>
      </c>
      <c r="AL58" s="15">
        <v>32.206996896850029</v>
      </c>
      <c r="AM58" s="15">
        <v>21.460272509056566</v>
      </c>
      <c r="AN58" s="15">
        <v>82.33647197035522</v>
      </c>
      <c r="AO58" s="15">
        <v>67.821894399749894</v>
      </c>
      <c r="AP58" s="15">
        <v>94.606752729946692</v>
      </c>
      <c r="AQ58" s="15">
        <v>0.72068803750584554</v>
      </c>
      <c r="AR58" s="15">
        <v>20.991489586236277</v>
      </c>
      <c r="AS58" s="15">
        <v>28.53522068140051</v>
      </c>
      <c r="AT58" s="15">
        <v>42.07882013600495</v>
      </c>
      <c r="AU58" s="15">
        <v>27.157641130190026</v>
      </c>
      <c r="AV58" s="15">
        <v>40.43542121766982</v>
      </c>
      <c r="AW58" s="15">
        <v>53.730067794855287</v>
      </c>
      <c r="AX58" s="15">
        <v>97.688360463752019</v>
      </c>
      <c r="AY58" s="15">
        <v>74.489913835474553</v>
      </c>
      <c r="AZ58" s="15">
        <v>94.767113010804678</v>
      </c>
      <c r="BA58" s="15">
        <v>15.31157836012097</v>
      </c>
      <c r="BB58" s="15">
        <v>35.274878167288492</v>
      </c>
      <c r="BC58" s="15">
        <v>61.059629850668649</v>
      </c>
      <c r="BD58" s="15">
        <v>7.2344988388276406</v>
      </c>
    </row>
    <row r="59" spans="1:56" x14ac:dyDescent="0.3">
      <c r="A59" s="18">
        <v>2015</v>
      </c>
      <c r="B59" s="6" t="s">
        <v>12</v>
      </c>
      <c r="C59" s="6" t="str">
        <f t="shared" si="2"/>
        <v>CO</v>
      </c>
      <c r="D59" s="6" t="str">
        <f t="shared" si="3"/>
        <v>科罗拉多州</v>
      </c>
      <c r="E59" s="14">
        <v>81.996662221259413</v>
      </c>
      <c r="F59" s="14">
        <v>31.663901723484834</v>
      </c>
      <c r="G59" s="14">
        <v>61.852215505022535</v>
      </c>
      <c r="H59" s="14">
        <v>85.528144103060356</v>
      </c>
      <c r="I59" s="14">
        <v>71.365353551500704</v>
      </c>
      <c r="J59" s="14">
        <v>12.175341495634518</v>
      </c>
      <c r="K59" s="14">
        <v>60.602604865546795</v>
      </c>
      <c r="L59" s="14">
        <v>40.453417209993717</v>
      </c>
      <c r="M59" s="14">
        <v>89.497149247647073</v>
      </c>
      <c r="N59" s="14">
        <v>86.530663200096541</v>
      </c>
      <c r="O59" s="14">
        <v>36.50599247463937</v>
      </c>
      <c r="P59" s="14">
        <v>80.633870424415903</v>
      </c>
      <c r="Q59" s="14">
        <v>31.719973052900773</v>
      </c>
      <c r="R59" s="14">
        <v>62.417114783495208</v>
      </c>
      <c r="S59" s="14">
        <v>59.985363453416404</v>
      </c>
      <c r="T59" s="14">
        <v>87.967257774465935</v>
      </c>
      <c r="U59" s="14">
        <v>29.650695913129212</v>
      </c>
      <c r="V59" s="14">
        <v>47.604455128344746</v>
      </c>
      <c r="W59" s="14">
        <v>12.010523431098285</v>
      </c>
      <c r="X59" s="14">
        <v>1.9215304704718439</v>
      </c>
      <c r="Y59" s="14">
        <v>6.8924702714806436</v>
      </c>
      <c r="Z59" s="14">
        <v>66.700632915378051</v>
      </c>
      <c r="AA59" s="14">
        <v>79.66299371844795</v>
      </c>
      <c r="AB59" s="14">
        <v>6.195563161324813</v>
      </c>
      <c r="AC59" s="14">
        <v>31.973474793158719</v>
      </c>
      <c r="AD59" s="14">
        <v>94.148985715845129</v>
      </c>
      <c r="AE59" s="14">
        <v>89.414628938858982</v>
      </c>
      <c r="AF59" s="14">
        <v>59.175361736765353</v>
      </c>
      <c r="AG59" s="14">
        <v>59.42350572166832</v>
      </c>
      <c r="AH59" s="14">
        <v>79.066567542041128</v>
      </c>
      <c r="AI59" s="14">
        <v>27.213895088940944</v>
      </c>
      <c r="AJ59" s="14">
        <v>37.756202112215341</v>
      </c>
      <c r="AK59" s="14">
        <v>72.531882318935587</v>
      </c>
      <c r="AL59" s="14">
        <v>19.389703436691232</v>
      </c>
      <c r="AM59" s="14">
        <v>17.847013057857918</v>
      </c>
      <c r="AN59" s="14">
        <v>13.674027874134209</v>
      </c>
      <c r="AO59" s="14">
        <v>82.16420214813725</v>
      </c>
      <c r="AP59" s="14">
        <v>92.28698729337259</v>
      </c>
      <c r="AQ59" s="14">
        <v>84.92173147219998</v>
      </c>
      <c r="AR59" s="14">
        <v>17.616569362758671</v>
      </c>
      <c r="AS59" s="14">
        <v>12.628602459451344</v>
      </c>
      <c r="AT59" s="14">
        <v>29.269084476269846</v>
      </c>
      <c r="AU59" s="14">
        <v>89.299405501746094</v>
      </c>
      <c r="AV59" s="14">
        <v>23.308893159423249</v>
      </c>
      <c r="AW59" s="14">
        <v>0.3610591548216302</v>
      </c>
      <c r="AX59" s="14">
        <v>84.203201719108975</v>
      </c>
      <c r="AY59" s="14">
        <v>79.109131474443345</v>
      </c>
      <c r="AZ59" s="14">
        <v>66.472028010596333</v>
      </c>
      <c r="BA59" s="14">
        <v>11.473595090180243</v>
      </c>
      <c r="BB59" s="14">
        <v>22.778463146534488</v>
      </c>
      <c r="BC59" s="14">
        <v>1.4120581418120004</v>
      </c>
      <c r="BD59" s="14">
        <v>81.172755405534673</v>
      </c>
    </row>
    <row r="60" spans="1:56" x14ac:dyDescent="0.3">
      <c r="A60" s="19">
        <v>2015</v>
      </c>
      <c r="B60" s="8" t="s">
        <v>14</v>
      </c>
      <c r="C60" s="8" t="str">
        <f t="shared" si="2"/>
        <v>CT</v>
      </c>
      <c r="D60" s="8" t="str">
        <f t="shared" si="3"/>
        <v>康涅狄格</v>
      </c>
      <c r="E60" s="15">
        <v>31.812085472384222</v>
      </c>
      <c r="F60" s="15">
        <v>6.9804312434723625</v>
      </c>
      <c r="G60" s="15">
        <v>61.862147728587424</v>
      </c>
      <c r="H60" s="15">
        <v>68.405656872014291</v>
      </c>
      <c r="I60" s="15">
        <v>99.7902159747361</v>
      </c>
      <c r="J60" s="15">
        <v>90.348669818427226</v>
      </c>
      <c r="K60" s="15">
        <v>38.98214701452175</v>
      </c>
      <c r="L60" s="15">
        <v>49.094198176993856</v>
      </c>
      <c r="M60" s="15">
        <v>55.360260831116015</v>
      </c>
      <c r="N60" s="15">
        <v>23.121183736692117</v>
      </c>
      <c r="O60" s="15">
        <v>38.6734891136323</v>
      </c>
      <c r="P60" s="15">
        <v>55.165450270562921</v>
      </c>
      <c r="Q60" s="15">
        <v>18.160809996396122</v>
      </c>
      <c r="R60" s="15">
        <v>75.418148330781051</v>
      </c>
      <c r="S60" s="15">
        <v>54.966300758201299</v>
      </c>
      <c r="T60" s="15">
        <v>26.68079953843414</v>
      </c>
      <c r="U60" s="15">
        <v>75.104307719069737</v>
      </c>
      <c r="V60" s="15">
        <v>2.2125620513778643</v>
      </c>
      <c r="W60" s="15">
        <v>87.407493513852813</v>
      </c>
      <c r="X60" s="15">
        <v>90.251493003073918</v>
      </c>
      <c r="Y60" s="15">
        <v>2.0958351238410833</v>
      </c>
      <c r="Z60" s="15">
        <v>82.220591141083204</v>
      </c>
      <c r="AA60" s="15">
        <v>31.673664405040046</v>
      </c>
      <c r="AB60" s="15">
        <v>30.394339615492395</v>
      </c>
      <c r="AC60" s="15">
        <v>87.680961294800639</v>
      </c>
      <c r="AD60" s="15">
        <v>17.607975286334</v>
      </c>
      <c r="AE60" s="15">
        <v>98.79649635030006</v>
      </c>
      <c r="AF60" s="15">
        <v>74.729405481140248</v>
      </c>
      <c r="AG60" s="15">
        <v>12.784079731572817</v>
      </c>
      <c r="AH60" s="15">
        <v>3.0610785486924863</v>
      </c>
      <c r="AI60" s="15">
        <v>86.080180469665748</v>
      </c>
      <c r="AJ60" s="15">
        <v>52.143143563977524</v>
      </c>
      <c r="AK60" s="15">
        <v>93.049903376550247</v>
      </c>
      <c r="AL60" s="15">
        <v>41.569863844757506</v>
      </c>
      <c r="AM60" s="15">
        <v>55.90400310438374</v>
      </c>
      <c r="AN60" s="15">
        <v>53.050457579327727</v>
      </c>
      <c r="AO60" s="15">
        <v>66.573232306333836</v>
      </c>
      <c r="AP60" s="15">
        <v>35.632704071049872</v>
      </c>
      <c r="AQ60" s="15">
        <v>8.2550251696263501</v>
      </c>
      <c r="AR60" s="15">
        <v>59.363116670548379</v>
      </c>
      <c r="AS60" s="15">
        <v>99.038569452533892</v>
      </c>
      <c r="AT60" s="15">
        <v>3.2649921458442255</v>
      </c>
      <c r="AU60" s="15">
        <v>75.220035139135661</v>
      </c>
      <c r="AV60" s="15">
        <v>81.792489022406272</v>
      </c>
      <c r="AW60" s="15">
        <v>54.792324223946778</v>
      </c>
      <c r="AX60" s="15">
        <v>99.889040860993617</v>
      </c>
      <c r="AY60" s="15">
        <v>40.734010232239648</v>
      </c>
      <c r="AZ60" s="15">
        <v>34.095333303272035</v>
      </c>
      <c r="BA60" s="15">
        <v>24.166247852492372</v>
      </c>
      <c r="BB60" s="15">
        <v>31.104444460299916</v>
      </c>
      <c r="BC60" s="15">
        <v>92.761942623798916</v>
      </c>
      <c r="BD60" s="15">
        <v>79.83751968691405</v>
      </c>
    </row>
    <row r="61" spans="1:56" x14ac:dyDescent="0.3">
      <c r="A61" s="18">
        <v>2015</v>
      </c>
      <c r="B61" s="6" t="s">
        <v>16</v>
      </c>
      <c r="C61" s="6" t="str">
        <f t="shared" si="2"/>
        <v>DE</v>
      </c>
      <c r="D61" s="6" t="str">
        <f t="shared" si="3"/>
        <v>特拉华州</v>
      </c>
      <c r="E61" s="14">
        <v>22.037216872749312</v>
      </c>
      <c r="F61" s="14">
        <v>30.499436575314199</v>
      </c>
      <c r="G61" s="14">
        <v>95.365593320865699</v>
      </c>
      <c r="H61" s="14">
        <v>54.007912731338237</v>
      </c>
      <c r="I61" s="14">
        <v>83.908510075742598</v>
      </c>
      <c r="J61" s="14">
        <v>65.354396639079766</v>
      </c>
      <c r="K61" s="14">
        <v>46.131763466475604</v>
      </c>
      <c r="L61" s="14">
        <v>97.07862088264126</v>
      </c>
      <c r="M61" s="14">
        <v>82.320350007953166</v>
      </c>
      <c r="N61" s="14">
        <v>18.324489053497416</v>
      </c>
      <c r="O61" s="14">
        <v>71.659912621986905</v>
      </c>
      <c r="P61" s="14">
        <v>44.160628273284338</v>
      </c>
      <c r="Q61" s="14">
        <v>60.061688942820766</v>
      </c>
      <c r="R61" s="14">
        <v>86.783230690902357</v>
      </c>
      <c r="S61" s="14">
        <v>77.141490313266218</v>
      </c>
      <c r="T61" s="14">
        <v>34.920242167264782</v>
      </c>
      <c r="U61" s="14">
        <v>88.618205575603426</v>
      </c>
      <c r="V61" s="14">
        <v>31.737197387952154</v>
      </c>
      <c r="W61" s="14">
        <v>16.003926250015667</v>
      </c>
      <c r="X61" s="14">
        <v>15.46057275388052</v>
      </c>
      <c r="Y61" s="14">
        <v>7.4606229683656045</v>
      </c>
      <c r="Z61" s="14">
        <v>65.284466833457444</v>
      </c>
      <c r="AA61" s="14">
        <v>6.2242470659163773</v>
      </c>
      <c r="AB61" s="14">
        <v>2.3725695797582769</v>
      </c>
      <c r="AC61" s="14">
        <v>94.541130395559023</v>
      </c>
      <c r="AD61" s="14">
        <v>17.47681303447769</v>
      </c>
      <c r="AE61" s="14">
        <v>23.062382439765528</v>
      </c>
      <c r="AF61" s="14">
        <v>58.161796817783355</v>
      </c>
      <c r="AG61" s="14">
        <v>32.991648987761693</v>
      </c>
      <c r="AH61" s="14">
        <v>4.9023889229951827</v>
      </c>
      <c r="AI61" s="14">
        <v>79.248442218343982</v>
      </c>
      <c r="AJ61" s="14">
        <v>7.4103892188712051</v>
      </c>
      <c r="AK61" s="14">
        <v>23.841268735346731</v>
      </c>
      <c r="AL61" s="14">
        <v>35.457949222801346</v>
      </c>
      <c r="AM61" s="14">
        <v>59.253397351681848</v>
      </c>
      <c r="AN61" s="14">
        <v>57.813642470599525</v>
      </c>
      <c r="AO61" s="14">
        <v>24.236378316564753</v>
      </c>
      <c r="AP61" s="14">
        <v>84.396759754735371</v>
      </c>
      <c r="AQ61" s="14">
        <v>21.265807260758528</v>
      </c>
      <c r="AR61" s="14">
        <v>79.951798343424826</v>
      </c>
      <c r="AS61" s="14">
        <v>43.806624914850069</v>
      </c>
      <c r="AT61" s="14">
        <v>78.637245157734881</v>
      </c>
      <c r="AU61" s="14">
        <v>0.42731755932857718</v>
      </c>
      <c r="AV61" s="14">
        <v>23.013804483311585</v>
      </c>
      <c r="AW61" s="14">
        <v>60.734317007029063</v>
      </c>
      <c r="AX61" s="14">
        <v>44.418724561461531</v>
      </c>
      <c r="AY61" s="14">
        <v>39.32807309828209</v>
      </c>
      <c r="AZ61" s="14">
        <v>73.849416710358398</v>
      </c>
      <c r="BA61" s="14">
        <v>9.3106435828917977</v>
      </c>
      <c r="BB61" s="14">
        <v>65.173990602325588</v>
      </c>
      <c r="BC61" s="14">
        <v>97.718028788264718</v>
      </c>
      <c r="BD61" s="14">
        <v>72.553506479957022</v>
      </c>
    </row>
    <row r="62" spans="1:56" x14ac:dyDescent="0.3">
      <c r="A62" s="19">
        <v>2015</v>
      </c>
      <c r="B62" s="8" t="s">
        <v>18</v>
      </c>
      <c r="C62" s="8" t="str">
        <f t="shared" si="2"/>
        <v>DC</v>
      </c>
      <c r="D62" s="8" t="str">
        <f t="shared" si="3"/>
        <v>哥伦比亚特区</v>
      </c>
      <c r="E62" s="15">
        <v>39.580491846856582</v>
      </c>
      <c r="F62" s="15">
        <v>49.558444985343364</v>
      </c>
      <c r="G62" s="15">
        <v>41.857268345287302</v>
      </c>
      <c r="H62" s="15">
        <v>11.233103027143244</v>
      </c>
      <c r="I62" s="15">
        <v>80.439274111929564</v>
      </c>
      <c r="J62" s="15">
        <v>58.428125476368507</v>
      </c>
      <c r="K62" s="15">
        <v>21.134345593739646</v>
      </c>
      <c r="L62" s="15">
        <v>93.712367973804874</v>
      </c>
      <c r="M62" s="15">
        <v>46.669480724501987</v>
      </c>
      <c r="N62" s="15">
        <v>6.189608173201111</v>
      </c>
      <c r="O62" s="15">
        <v>57.806076369037228</v>
      </c>
      <c r="P62" s="15">
        <v>92.631403830881069</v>
      </c>
      <c r="Q62" s="15">
        <v>87.147183211848684</v>
      </c>
      <c r="R62" s="15">
        <v>27.414843255033784</v>
      </c>
      <c r="S62" s="15">
        <v>93.156307924545146</v>
      </c>
      <c r="T62" s="15">
        <v>52.154953610632063</v>
      </c>
      <c r="U62" s="15">
        <v>76.743141104662101</v>
      </c>
      <c r="V62" s="15">
        <v>91.458671039592147</v>
      </c>
      <c r="W62" s="15">
        <v>7.3321410063129422</v>
      </c>
      <c r="X62" s="15">
        <v>84.010980736857974</v>
      </c>
      <c r="Y62" s="15">
        <v>46.206497195152707</v>
      </c>
      <c r="Z62" s="15">
        <v>23.939801324256059</v>
      </c>
      <c r="AA62" s="15">
        <v>67.005997705252966</v>
      </c>
      <c r="AB62" s="15">
        <v>26.267843081157103</v>
      </c>
      <c r="AC62" s="15">
        <v>44.425249790427621</v>
      </c>
      <c r="AD62" s="15">
        <v>42.445935081642538</v>
      </c>
      <c r="AE62" s="15">
        <v>31.61000348974682</v>
      </c>
      <c r="AF62" s="15">
        <v>12.950500017820698</v>
      </c>
      <c r="AG62" s="15">
        <v>34.713462512623096</v>
      </c>
      <c r="AH62" s="15">
        <v>50.138111702188105</v>
      </c>
      <c r="AI62" s="15">
        <v>68.044180741374689</v>
      </c>
      <c r="AJ62" s="15">
        <v>33.536196705354286</v>
      </c>
      <c r="AK62" s="15">
        <v>65.193505532641666</v>
      </c>
      <c r="AL62" s="15">
        <v>59.929453179338552</v>
      </c>
      <c r="AM62" s="15">
        <v>73.026478976788084</v>
      </c>
      <c r="AN62" s="15">
        <v>88.959341678011043</v>
      </c>
      <c r="AO62" s="15">
        <v>2.0497459389725803</v>
      </c>
      <c r="AP62" s="15">
        <v>68.904318862180602</v>
      </c>
      <c r="AQ62" s="15">
        <v>67.696820890704402</v>
      </c>
      <c r="AR62" s="15">
        <v>84.458110007497012</v>
      </c>
      <c r="AS62" s="15">
        <v>73.078611913186748</v>
      </c>
      <c r="AT62" s="15">
        <v>99.231443577681574</v>
      </c>
      <c r="AU62" s="15">
        <v>6.3832655128621463</v>
      </c>
      <c r="AV62" s="15">
        <v>51.771152707394229</v>
      </c>
      <c r="AW62" s="15">
        <v>14.494468777731672</v>
      </c>
      <c r="AX62" s="15">
        <v>89.358763575048641</v>
      </c>
      <c r="AY62" s="15">
        <v>16.185863502634689</v>
      </c>
      <c r="AZ62" s="15">
        <v>71.600625935651095</v>
      </c>
      <c r="BA62" s="15">
        <v>81.906972147123071</v>
      </c>
      <c r="BB62" s="15">
        <v>3.2353982553283256</v>
      </c>
      <c r="BC62" s="15">
        <v>88.529095062198522</v>
      </c>
      <c r="BD62" s="15">
        <v>7.0569059305026327</v>
      </c>
    </row>
    <row r="63" spans="1:56" x14ac:dyDescent="0.3">
      <c r="A63" s="18">
        <v>2015</v>
      </c>
      <c r="B63" s="6" t="s">
        <v>20</v>
      </c>
      <c r="C63" s="6" t="str">
        <f t="shared" si="2"/>
        <v>FL</v>
      </c>
      <c r="D63" s="6" t="str">
        <f t="shared" si="3"/>
        <v>佛罗里达</v>
      </c>
      <c r="E63" s="14">
        <v>19.492764140656416</v>
      </c>
      <c r="F63" s="14">
        <v>38.625215748531339</v>
      </c>
      <c r="G63" s="14">
        <v>90.119482827609176</v>
      </c>
      <c r="H63" s="14">
        <v>15.341115885256018</v>
      </c>
      <c r="I63" s="14">
        <v>69.60148821301982</v>
      </c>
      <c r="J63" s="14">
        <v>28.306037936574924</v>
      </c>
      <c r="K63" s="14">
        <v>89.16156030809573</v>
      </c>
      <c r="L63" s="14">
        <v>2.5849183506467255</v>
      </c>
      <c r="M63" s="14">
        <v>61.562787764101635</v>
      </c>
      <c r="N63" s="14">
        <v>91.370812667660829</v>
      </c>
      <c r="O63" s="14">
        <v>98.089919134795196</v>
      </c>
      <c r="P63" s="14">
        <v>50.506889873418068</v>
      </c>
      <c r="Q63" s="14">
        <v>58.691046676013855</v>
      </c>
      <c r="R63" s="14">
        <v>64.218873399003755</v>
      </c>
      <c r="S63" s="14">
        <v>34.622771323260118</v>
      </c>
      <c r="T63" s="14">
        <v>30.775701150480995</v>
      </c>
      <c r="U63" s="14">
        <v>1.6902571923640752</v>
      </c>
      <c r="V63" s="14">
        <v>26.184364965897878</v>
      </c>
      <c r="W63" s="14">
        <v>75.592011404029208</v>
      </c>
      <c r="X63" s="14">
        <v>2.4322600660641069</v>
      </c>
      <c r="Y63" s="14">
        <v>94.716990438013028</v>
      </c>
      <c r="Z63" s="14">
        <v>99.76673391358284</v>
      </c>
      <c r="AA63" s="14">
        <v>51.306576904827139</v>
      </c>
      <c r="AB63" s="14">
        <v>35.86535162629697</v>
      </c>
      <c r="AC63" s="14">
        <v>77.597883790170869</v>
      </c>
      <c r="AD63" s="14">
        <v>59.524173313489072</v>
      </c>
      <c r="AE63" s="14">
        <v>58.092365538390055</v>
      </c>
      <c r="AF63" s="14">
        <v>23.516810562412171</v>
      </c>
      <c r="AG63" s="14">
        <v>45.076663787251967</v>
      </c>
      <c r="AH63" s="14">
        <v>8.041466760788218</v>
      </c>
      <c r="AI63" s="14">
        <v>77.780706535539323</v>
      </c>
      <c r="AJ63" s="14">
        <v>94.679866549011592</v>
      </c>
      <c r="AK63" s="14">
        <v>25.817574003765099</v>
      </c>
      <c r="AL63" s="14">
        <v>36.442053145399569</v>
      </c>
      <c r="AM63" s="14">
        <v>87.287513986261402</v>
      </c>
      <c r="AN63" s="14">
        <v>38.263752533707205</v>
      </c>
      <c r="AO63" s="14">
        <v>76.559090730568897</v>
      </c>
      <c r="AP63" s="14">
        <v>49.404213944374511</v>
      </c>
      <c r="AQ63" s="14">
        <v>11.484289685256233</v>
      </c>
      <c r="AR63" s="14">
        <v>39.402914646398315</v>
      </c>
      <c r="AS63" s="14">
        <v>53.858336114871854</v>
      </c>
      <c r="AT63" s="14">
        <v>48.035036081246616</v>
      </c>
      <c r="AU63" s="14">
        <v>81.192688555072905</v>
      </c>
      <c r="AV63" s="14">
        <v>45.751411258159557</v>
      </c>
      <c r="AW63" s="14">
        <v>23.498973699110358</v>
      </c>
      <c r="AX63" s="14">
        <v>60.997972747721128</v>
      </c>
      <c r="AY63" s="14">
        <v>68.537359482034304</v>
      </c>
      <c r="AZ63" s="14">
        <v>6.8936156710752483</v>
      </c>
      <c r="BA63" s="14">
        <v>59.064627638595432</v>
      </c>
      <c r="BB63" s="14">
        <v>5.4359336746725102</v>
      </c>
      <c r="BC63" s="14">
        <v>18.600439098033995</v>
      </c>
      <c r="BD63" s="14">
        <v>29.881031620613829</v>
      </c>
    </row>
    <row r="64" spans="1:56" x14ac:dyDescent="0.3">
      <c r="A64" s="19">
        <v>2015</v>
      </c>
      <c r="B64" s="8" t="s">
        <v>22</v>
      </c>
      <c r="C64" s="8" t="str">
        <f t="shared" si="2"/>
        <v>GA</v>
      </c>
      <c r="D64" s="8" t="str">
        <f t="shared" si="3"/>
        <v>乔治亚州</v>
      </c>
      <c r="E64" s="15">
        <v>55.038738700023025</v>
      </c>
      <c r="F64" s="15">
        <v>38.509368452932357</v>
      </c>
      <c r="G64" s="15">
        <v>91.590649110409004</v>
      </c>
      <c r="H64" s="15">
        <v>71.720318331264068</v>
      </c>
      <c r="I64" s="15">
        <v>25.516744930324322</v>
      </c>
      <c r="J64" s="15">
        <v>95.009290540463169</v>
      </c>
      <c r="K64" s="15">
        <v>97.668913362414727</v>
      </c>
      <c r="L64" s="15">
        <v>93.450301790753713</v>
      </c>
      <c r="M64" s="15">
        <v>45.704312260655534</v>
      </c>
      <c r="N64" s="15">
        <v>82.298754095298776</v>
      </c>
      <c r="O64" s="15">
        <v>94.893012692694867</v>
      </c>
      <c r="P64" s="15">
        <v>79.246339594040975</v>
      </c>
      <c r="Q64" s="15">
        <v>32.151529430598117</v>
      </c>
      <c r="R64" s="15">
        <v>90.285463137977189</v>
      </c>
      <c r="S64" s="15">
        <v>83.847348136283685</v>
      </c>
      <c r="T64" s="15">
        <v>47.323061407366396</v>
      </c>
      <c r="U64" s="15">
        <v>70.316453600036269</v>
      </c>
      <c r="V64" s="15">
        <v>95.781641924464765</v>
      </c>
      <c r="W64" s="15">
        <v>20.103441242065511</v>
      </c>
      <c r="X64" s="15">
        <v>44.660222430276384</v>
      </c>
      <c r="Y64" s="15">
        <v>85.0654018609996</v>
      </c>
      <c r="Z64" s="15">
        <v>42.302983913171722</v>
      </c>
      <c r="AA64" s="15">
        <v>51.664225799498631</v>
      </c>
      <c r="AB64" s="15">
        <v>52.678306870207891</v>
      </c>
      <c r="AC64" s="15">
        <v>70.131492859684712</v>
      </c>
      <c r="AD64" s="15">
        <v>12.042999102163209</v>
      </c>
      <c r="AE64" s="15">
        <v>24.484847410090172</v>
      </c>
      <c r="AF64" s="15">
        <v>64.439250083764904</v>
      </c>
      <c r="AG64" s="15">
        <v>10.620191240914545</v>
      </c>
      <c r="AH64" s="15">
        <v>23.682081075475736</v>
      </c>
      <c r="AI64" s="15">
        <v>62.579606699094789</v>
      </c>
      <c r="AJ64" s="15">
        <v>39.653088733179523</v>
      </c>
      <c r="AK64" s="15">
        <v>2.9924975613661364</v>
      </c>
      <c r="AL64" s="15">
        <v>27.189346057260256</v>
      </c>
      <c r="AM64" s="15">
        <v>85.22399427697988</v>
      </c>
      <c r="AN64" s="15">
        <v>26.212038683085837</v>
      </c>
      <c r="AO64" s="15">
        <v>1.9769349943708048</v>
      </c>
      <c r="AP64" s="15">
        <v>48.519391768093392</v>
      </c>
      <c r="AQ64" s="15">
        <v>17.425167101087556</v>
      </c>
      <c r="AR64" s="15">
        <v>43.472613581568488</v>
      </c>
      <c r="AS64" s="15">
        <v>88.384722046674824</v>
      </c>
      <c r="AT64" s="15">
        <v>5.657199502999366</v>
      </c>
      <c r="AU64" s="15">
        <v>39.074332393484553</v>
      </c>
      <c r="AV64" s="15">
        <v>46.431085490880427</v>
      </c>
      <c r="AW64" s="15">
        <v>39.529567018532319</v>
      </c>
      <c r="AX64" s="15">
        <v>58.927216527071394</v>
      </c>
      <c r="AY64" s="15">
        <v>62.632910850613079</v>
      </c>
      <c r="AZ64" s="15">
        <v>4.9773157691793806</v>
      </c>
      <c r="BA64" s="15">
        <v>17.906054896766477</v>
      </c>
      <c r="BB64" s="15">
        <v>49.512396336198293</v>
      </c>
      <c r="BC64" s="15">
        <v>38.964621360211474</v>
      </c>
      <c r="BD64" s="15">
        <v>85.570251611828326</v>
      </c>
    </row>
    <row r="65" spans="1:56" x14ac:dyDescent="0.3">
      <c r="A65" s="18">
        <v>2015</v>
      </c>
      <c r="B65" s="6" t="s">
        <v>24</v>
      </c>
      <c r="C65" s="6" t="str">
        <f t="shared" si="2"/>
        <v>HI</v>
      </c>
      <c r="D65" s="6" t="str">
        <f t="shared" si="3"/>
        <v>夏威夷</v>
      </c>
      <c r="E65" s="14">
        <v>26.467900231691786</v>
      </c>
      <c r="F65" s="14">
        <v>24.496236774882053</v>
      </c>
      <c r="G65" s="14">
        <v>82.440779599187465</v>
      </c>
      <c r="H65" s="14">
        <v>29.303617765279444</v>
      </c>
      <c r="I65" s="14">
        <v>5.0924032250928786</v>
      </c>
      <c r="J65" s="14">
        <v>45.672967915435933</v>
      </c>
      <c r="K65" s="14">
        <v>17.235767385717249</v>
      </c>
      <c r="L65" s="14">
        <v>25.004948489906418</v>
      </c>
      <c r="M65" s="14">
        <v>77.7120401834826</v>
      </c>
      <c r="N65" s="14">
        <v>41.691324983438882</v>
      </c>
      <c r="O65" s="14">
        <v>68.51399586080052</v>
      </c>
      <c r="P65" s="14">
        <v>18.115540258685748</v>
      </c>
      <c r="Q65" s="14">
        <v>92.052569915183938</v>
      </c>
      <c r="R65" s="14">
        <v>46.046526957586963</v>
      </c>
      <c r="S65" s="14">
        <v>22.241287295086053</v>
      </c>
      <c r="T65" s="14">
        <v>74.406530125955058</v>
      </c>
      <c r="U65" s="14">
        <v>90.324166057595463</v>
      </c>
      <c r="V65" s="14">
        <v>94.811447062324604</v>
      </c>
      <c r="W65" s="14">
        <v>92.577994470765361</v>
      </c>
      <c r="X65" s="14">
        <v>56.570076980149594</v>
      </c>
      <c r="Y65" s="14">
        <v>40.878513000013413</v>
      </c>
      <c r="Z65" s="14">
        <v>64.760303013190949</v>
      </c>
      <c r="AA65" s="14">
        <v>82.233588058701315</v>
      </c>
      <c r="AB65" s="14">
        <v>18.075402335094527</v>
      </c>
      <c r="AC65" s="14">
        <v>54.411610775102147</v>
      </c>
      <c r="AD65" s="14">
        <v>24.412406418324707</v>
      </c>
      <c r="AE65" s="14">
        <v>10.200628831329761</v>
      </c>
      <c r="AF65" s="14">
        <v>24.030209177314564</v>
      </c>
      <c r="AG65" s="14">
        <v>0.35348692996994835</v>
      </c>
      <c r="AH65" s="14">
        <v>1.9655801456477828</v>
      </c>
      <c r="AI65" s="14">
        <v>3.8022969352274893</v>
      </c>
      <c r="AJ65" s="14">
        <v>58.515718482249682</v>
      </c>
      <c r="AK65" s="14">
        <v>49.278899303334136</v>
      </c>
      <c r="AL65" s="14">
        <v>22.79377677507285</v>
      </c>
      <c r="AM65" s="14">
        <v>40.402383918519625</v>
      </c>
      <c r="AN65" s="14">
        <v>71.015891747117806</v>
      </c>
      <c r="AO65" s="14">
        <v>33.976777599187116</v>
      </c>
      <c r="AP65" s="14">
        <v>32.602145032515338</v>
      </c>
      <c r="AQ65" s="14">
        <v>63.769738932411471</v>
      </c>
      <c r="AR65" s="14">
        <v>46.266551416922006</v>
      </c>
      <c r="AS65" s="14">
        <v>77.011426890099727</v>
      </c>
      <c r="AT65" s="14">
        <v>60.123659496243199</v>
      </c>
      <c r="AU65" s="14">
        <v>81.43547564116426</v>
      </c>
      <c r="AV65" s="14">
        <v>1.6671411799003555</v>
      </c>
      <c r="AW65" s="14">
        <v>4.1340836092193971</v>
      </c>
      <c r="AX65" s="14">
        <v>81.115833165689537</v>
      </c>
      <c r="AY65" s="14">
        <v>85.408427253622236</v>
      </c>
      <c r="AZ65" s="14">
        <v>38.927501013824703</v>
      </c>
      <c r="BA65" s="14">
        <v>7.2637811637133449</v>
      </c>
      <c r="BB65" s="14">
        <v>89.124218394738506</v>
      </c>
      <c r="BC65" s="14">
        <v>82.290093349670556</v>
      </c>
      <c r="BD65" s="14">
        <v>77.738712148798925</v>
      </c>
    </row>
    <row r="66" spans="1:56" x14ac:dyDescent="0.3">
      <c r="A66" s="19">
        <v>2015</v>
      </c>
      <c r="B66" s="8" t="s">
        <v>26</v>
      </c>
      <c r="C66" s="8" t="str">
        <f t="shared" ref="C66:C97" si="4">VLOOKUP(B66,INEXES,2,0)</f>
        <v>ID</v>
      </c>
      <c r="D66" s="8" t="str">
        <f t="shared" ref="D66:D97" si="5">VLOOKUP(B66,INEXES,3,0)</f>
        <v>爱达荷州</v>
      </c>
      <c r="E66" s="15">
        <v>51.949480122307357</v>
      </c>
      <c r="F66" s="15">
        <v>51.336112344017501</v>
      </c>
      <c r="G66" s="15">
        <v>31.447850336359817</v>
      </c>
      <c r="H66" s="15">
        <v>90.556770165619426</v>
      </c>
      <c r="I66" s="15">
        <v>49.979898254891197</v>
      </c>
      <c r="J66" s="15">
        <v>8.0355794820295205</v>
      </c>
      <c r="K66" s="15">
        <v>38.448317835204747</v>
      </c>
      <c r="L66" s="15">
        <v>65.675201017120756</v>
      </c>
      <c r="M66" s="15">
        <v>11.968012058583376</v>
      </c>
      <c r="N66" s="15">
        <v>46.888059088720105</v>
      </c>
      <c r="O66" s="15">
        <v>55.09126137849529</v>
      </c>
      <c r="P66" s="15">
        <v>59.596239187692504</v>
      </c>
      <c r="Q66" s="15">
        <v>9.3997236363160717</v>
      </c>
      <c r="R66" s="15">
        <v>91.000687670255687</v>
      </c>
      <c r="S66" s="15">
        <v>44.099350586647915</v>
      </c>
      <c r="T66" s="15">
        <v>34.210973959807504</v>
      </c>
      <c r="U66" s="15">
        <v>95.083425253071724</v>
      </c>
      <c r="V66" s="15">
        <v>21.522371511065465</v>
      </c>
      <c r="W66" s="15">
        <v>41.70797594680856</v>
      </c>
      <c r="X66" s="15">
        <v>81.06010910158335</v>
      </c>
      <c r="Y66" s="15">
        <v>66.781056320840378</v>
      </c>
      <c r="Z66" s="15">
        <v>3.9957264940769344</v>
      </c>
      <c r="AA66" s="15">
        <v>82.409045857880997</v>
      </c>
      <c r="AB66" s="15">
        <v>32.172974288171474</v>
      </c>
      <c r="AC66" s="15">
        <v>22.149164207810401</v>
      </c>
      <c r="AD66" s="15">
        <v>94.469285488091103</v>
      </c>
      <c r="AE66" s="15">
        <v>28.425408792050042</v>
      </c>
      <c r="AF66" s="15">
        <v>72.92127620771825</v>
      </c>
      <c r="AG66" s="15">
        <v>88.342446222583732</v>
      </c>
      <c r="AH66" s="15">
        <v>63.245652249805097</v>
      </c>
      <c r="AI66" s="15">
        <v>62.756023690421024</v>
      </c>
      <c r="AJ66" s="15">
        <v>70.120135967946382</v>
      </c>
      <c r="AK66" s="15">
        <v>9.175479571207056</v>
      </c>
      <c r="AL66" s="15">
        <v>51.466919558001855</v>
      </c>
      <c r="AM66" s="15">
        <v>4.7142232876144829</v>
      </c>
      <c r="AN66" s="15">
        <v>28.360473374263574</v>
      </c>
      <c r="AO66" s="15">
        <v>51.631829001217376</v>
      </c>
      <c r="AP66" s="15">
        <v>83.228091482333284</v>
      </c>
      <c r="AQ66" s="15">
        <v>36.016992862596339</v>
      </c>
      <c r="AR66" s="15">
        <v>88.724640674061334</v>
      </c>
      <c r="AS66" s="15">
        <v>7.0838173093978662</v>
      </c>
      <c r="AT66" s="15">
        <v>67.81515949109081</v>
      </c>
      <c r="AU66" s="15">
        <v>30.095521990617357</v>
      </c>
      <c r="AV66" s="15">
        <v>77.009899854363113</v>
      </c>
      <c r="AW66" s="15">
        <v>80.279528321942863</v>
      </c>
      <c r="AX66" s="15">
        <v>32.216228025722181</v>
      </c>
      <c r="AY66" s="15">
        <v>91.942551259906892</v>
      </c>
      <c r="AZ66" s="15">
        <v>92.812666307710899</v>
      </c>
      <c r="BA66" s="15">
        <v>8.0448283227200434</v>
      </c>
      <c r="BB66" s="15">
        <v>71.734799671029947</v>
      </c>
      <c r="BC66" s="15">
        <v>45.016311205745595</v>
      </c>
      <c r="BD66" s="15">
        <v>27.803041297966892</v>
      </c>
    </row>
    <row r="67" spans="1:56" x14ac:dyDescent="0.3">
      <c r="A67" s="18">
        <v>2015</v>
      </c>
      <c r="B67" s="6" t="s">
        <v>28</v>
      </c>
      <c r="C67" s="6" t="str">
        <f t="shared" si="4"/>
        <v>IL</v>
      </c>
      <c r="D67" s="6" t="str">
        <f t="shared" si="5"/>
        <v>伊利诺斯州</v>
      </c>
      <c r="E67" s="14">
        <v>35.328883499389029</v>
      </c>
      <c r="F67" s="14">
        <v>75.810254533985784</v>
      </c>
      <c r="G67" s="14">
        <v>66.94157468270879</v>
      </c>
      <c r="H67" s="14">
        <v>18.558955575809133</v>
      </c>
      <c r="I67" s="14">
        <v>11.408407345344241</v>
      </c>
      <c r="J67" s="14">
        <v>13.51165943120478</v>
      </c>
      <c r="K67" s="14">
        <v>42.132976573681603</v>
      </c>
      <c r="L67" s="14">
        <v>40.954201246813916</v>
      </c>
      <c r="M67" s="14">
        <v>60.323728071247018</v>
      </c>
      <c r="N67" s="14">
        <v>57.143353780379393</v>
      </c>
      <c r="O67" s="14">
        <v>30.518123774277107</v>
      </c>
      <c r="P67" s="14">
        <v>79.984949561676402</v>
      </c>
      <c r="Q67" s="14">
        <v>61.431195273069541</v>
      </c>
      <c r="R67" s="14">
        <v>61.858343272633718</v>
      </c>
      <c r="S67" s="14">
        <v>57.149124812940101</v>
      </c>
      <c r="T67" s="14">
        <v>80.475404199188091</v>
      </c>
      <c r="U67" s="14">
        <v>25.729759331838309</v>
      </c>
      <c r="V67" s="14">
        <v>51.606043371935584</v>
      </c>
      <c r="W67" s="14">
        <v>11.725983087838642</v>
      </c>
      <c r="X67" s="14">
        <v>19.480604344889418</v>
      </c>
      <c r="Y67" s="14">
        <v>95.090381385964164</v>
      </c>
      <c r="Z67" s="14">
        <v>60.082261078724741</v>
      </c>
      <c r="AA67" s="14">
        <v>75.438273752883617</v>
      </c>
      <c r="AB67" s="14">
        <v>42.892687901912119</v>
      </c>
      <c r="AC67" s="14">
        <v>78.868971407918082</v>
      </c>
      <c r="AD67" s="14">
        <v>69.572378918385212</v>
      </c>
      <c r="AE67" s="14">
        <v>97.554213920950872</v>
      </c>
      <c r="AF67" s="14">
        <v>1.0042707732757616</v>
      </c>
      <c r="AG67" s="14">
        <v>41.710362758851382</v>
      </c>
      <c r="AH67" s="14">
        <v>91.904561986962847</v>
      </c>
      <c r="AI67" s="14">
        <v>78.318487740589248</v>
      </c>
      <c r="AJ67" s="14">
        <v>34.755826942722642</v>
      </c>
      <c r="AK67" s="14">
        <v>23.830860352682027</v>
      </c>
      <c r="AL67" s="14">
        <v>56.032610528189998</v>
      </c>
      <c r="AM67" s="14">
        <v>65.197047446667781</v>
      </c>
      <c r="AN67" s="14">
        <v>59.934854312732732</v>
      </c>
      <c r="AO67" s="14">
        <v>35.858526478140377</v>
      </c>
      <c r="AP67" s="14">
        <v>69.415654341100947</v>
      </c>
      <c r="AQ67" s="14">
        <v>85.666324851436258</v>
      </c>
      <c r="AR67" s="14">
        <v>26.106456143138956</v>
      </c>
      <c r="AS67" s="14">
        <v>76.857986820954537</v>
      </c>
      <c r="AT67" s="14">
        <v>40.030347559026566</v>
      </c>
      <c r="AU67" s="14">
        <v>91.83807994159254</v>
      </c>
      <c r="AV67" s="14">
        <v>46.71696902486002</v>
      </c>
      <c r="AW67" s="14">
        <v>33.689597387642543</v>
      </c>
      <c r="AX67" s="14">
        <v>8.661674848393508</v>
      </c>
      <c r="AY67" s="14">
        <v>39.205598374068138</v>
      </c>
      <c r="AZ67" s="14">
        <v>89.572265969552717</v>
      </c>
      <c r="BA67" s="14">
        <v>60.110922270808857</v>
      </c>
      <c r="BB67" s="14">
        <v>69.38263051055678</v>
      </c>
      <c r="BC67" s="14">
        <v>22.458447129550141</v>
      </c>
      <c r="BD67" s="14">
        <v>49.182174556026951</v>
      </c>
    </row>
    <row r="68" spans="1:56" x14ac:dyDescent="0.3">
      <c r="A68" s="19">
        <v>2015</v>
      </c>
      <c r="B68" s="8" t="s">
        <v>30</v>
      </c>
      <c r="C68" s="8" t="str">
        <f t="shared" si="4"/>
        <v>IN</v>
      </c>
      <c r="D68" s="8" t="str">
        <f t="shared" si="5"/>
        <v>印第安纳州</v>
      </c>
      <c r="E68" s="15">
        <v>2.2420933073233451</v>
      </c>
      <c r="F68" s="15">
        <v>34.179737914754384</v>
      </c>
      <c r="G68" s="15">
        <v>64.50599680799391</v>
      </c>
      <c r="H68" s="15">
        <v>91.117719142880574</v>
      </c>
      <c r="I68" s="15">
        <v>66.50253603649746</v>
      </c>
      <c r="J68" s="15">
        <v>27.178075442028327</v>
      </c>
      <c r="K68" s="15">
        <v>87.446517703874292</v>
      </c>
      <c r="L68" s="15">
        <v>86.635627428655269</v>
      </c>
      <c r="M68" s="15">
        <v>77.154234689071444</v>
      </c>
      <c r="N68" s="15">
        <v>1.1752935513314466</v>
      </c>
      <c r="O68" s="15">
        <v>10.204971957901687</v>
      </c>
      <c r="P68" s="15">
        <v>33.254557573501046</v>
      </c>
      <c r="Q68" s="15">
        <v>49.255770599348203</v>
      </c>
      <c r="R68" s="15">
        <v>89.208016022658938</v>
      </c>
      <c r="S68" s="15">
        <v>75.67713895590073</v>
      </c>
      <c r="T68" s="15">
        <v>65.659954271341391</v>
      </c>
      <c r="U68" s="15">
        <v>70.19809672789232</v>
      </c>
      <c r="V68" s="15">
        <v>82.573265902886021</v>
      </c>
      <c r="W68" s="15">
        <v>68.381107748764862</v>
      </c>
      <c r="X68" s="15">
        <v>2.9366397298210334</v>
      </c>
      <c r="Y68" s="15">
        <v>79.427821808156324</v>
      </c>
      <c r="Z68" s="15">
        <v>5.5420315540754554</v>
      </c>
      <c r="AA68" s="15">
        <v>42.676379574991827</v>
      </c>
      <c r="AB68" s="15">
        <v>72.015553359046223</v>
      </c>
      <c r="AC68" s="15">
        <v>96.539380892430742</v>
      </c>
      <c r="AD68" s="15">
        <v>46.563212958041291</v>
      </c>
      <c r="AE68" s="15">
        <v>93.875274793321637</v>
      </c>
      <c r="AF68" s="15">
        <v>98.960877526009966</v>
      </c>
      <c r="AG68" s="15">
        <v>9.6747385387856539</v>
      </c>
      <c r="AH68" s="15">
        <v>80.002058528461774</v>
      </c>
      <c r="AI68" s="15">
        <v>80.990701847868792</v>
      </c>
      <c r="AJ68" s="15">
        <v>76.067908209202045</v>
      </c>
      <c r="AK68" s="15">
        <v>18.62603506101501</v>
      </c>
      <c r="AL68" s="15">
        <v>30.128482723394757</v>
      </c>
      <c r="AM68" s="15">
        <v>96.243348315279093</v>
      </c>
      <c r="AN68" s="15">
        <v>82.299543331933648</v>
      </c>
      <c r="AO68" s="15">
        <v>70.851239740668817</v>
      </c>
      <c r="AP68" s="15">
        <v>31.844214093081092</v>
      </c>
      <c r="AQ68" s="15">
        <v>44.215212773829435</v>
      </c>
      <c r="AR68" s="15">
        <v>75.048780652677365</v>
      </c>
      <c r="AS68" s="15">
        <v>57.148154849313627</v>
      </c>
      <c r="AT68" s="15">
        <v>97.407443145706978</v>
      </c>
      <c r="AU68" s="15">
        <v>82.423426986163165</v>
      </c>
      <c r="AV68" s="15">
        <v>39.728834049237008</v>
      </c>
      <c r="AW68" s="15">
        <v>66.511712253906865</v>
      </c>
      <c r="AX68" s="15">
        <v>30.844740163001006</v>
      </c>
      <c r="AY68" s="15">
        <v>65.461999163561757</v>
      </c>
      <c r="AZ68" s="15">
        <v>13.225354624713304</v>
      </c>
      <c r="BA68" s="15">
        <v>34.986381375956078</v>
      </c>
      <c r="BB68" s="15">
        <v>22.676947812162918</v>
      </c>
      <c r="BC68" s="15">
        <v>14.33805846578451</v>
      </c>
      <c r="BD68" s="15">
        <v>84.216776129939348</v>
      </c>
    </row>
    <row r="69" spans="1:56" x14ac:dyDescent="0.3">
      <c r="A69" s="18">
        <v>2015</v>
      </c>
      <c r="B69" s="6" t="s">
        <v>32</v>
      </c>
      <c r="C69" s="6" t="str">
        <f t="shared" si="4"/>
        <v>IA</v>
      </c>
      <c r="D69" s="6" t="str">
        <f t="shared" si="5"/>
        <v>爱荷华州</v>
      </c>
      <c r="E69" s="14">
        <v>7.1693959682454516</v>
      </c>
      <c r="F69" s="14">
        <v>16.636426954906682</v>
      </c>
      <c r="G69" s="14">
        <v>51.476075898827197</v>
      </c>
      <c r="H69" s="14">
        <v>99.063587691410433</v>
      </c>
      <c r="I69" s="14">
        <v>96.268181694675093</v>
      </c>
      <c r="J69" s="14">
        <v>80.292287647006319</v>
      </c>
      <c r="K69" s="14">
        <v>87.970959505026528</v>
      </c>
      <c r="L69" s="14">
        <v>58.435216838052582</v>
      </c>
      <c r="M69" s="14">
        <v>0.19818681285916906</v>
      </c>
      <c r="N69" s="14">
        <v>33.606391610159079</v>
      </c>
      <c r="O69" s="14">
        <v>43.206147808029606</v>
      </c>
      <c r="P69" s="14">
        <v>2.1339520941308199</v>
      </c>
      <c r="Q69" s="14">
        <v>5.3315210202226959</v>
      </c>
      <c r="R69" s="14">
        <v>63.564831080846439</v>
      </c>
      <c r="S69" s="14">
        <v>77.39209481059703</v>
      </c>
      <c r="T69" s="14">
        <v>11.629247299299728</v>
      </c>
      <c r="U69" s="14">
        <v>55.790247108892956</v>
      </c>
      <c r="V69" s="14">
        <v>38.498741995669214</v>
      </c>
      <c r="W69" s="14">
        <v>83.541103390310127</v>
      </c>
      <c r="X69" s="14">
        <v>62.38654956147618</v>
      </c>
      <c r="Y69" s="14">
        <v>95.260072823812209</v>
      </c>
      <c r="Z69" s="14">
        <v>81.305325747002115</v>
      </c>
      <c r="AA69" s="14">
        <v>84.998953508224389</v>
      </c>
      <c r="AB69" s="14">
        <v>95.931271968139129</v>
      </c>
      <c r="AC69" s="14">
        <v>66.404475234939014</v>
      </c>
      <c r="AD69" s="14">
        <v>91.941527285973379</v>
      </c>
      <c r="AE69" s="14">
        <v>91.593712684943583</v>
      </c>
      <c r="AF69" s="14">
        <v>91.031227091343908</v>
      </c>
      <c r="AG69" s="14">
        <v>56.367159743389173</v>
      </c>
      <c r="AH69" s="14">
        <v>70.894686007445827</v>
      </c>
      <c r="AI69" s="14">
        <v>91.668618981861968</v>
      </c>
      <c r="AJ69" s="14">
        <v>62.867891028724955</v>
      </c>
      <c r="AK69" s="14">
        <v>8.8154732843966457</v>
      </c>
      <c r="AL69" s="14">
        <v>16.37147860248135</v>
      </c>
      <c r="AM69" s="14">
        <v>83.28436042639936</v>
      </c>
      <c r="AN69" s="14">
        <v>2.0912696053041246</v>
      </c>
      <c r="AO69" s="14">
        <v>30.391521179444137</v>
      </c>
      <c r="AP69" s="14">
        <v>70.662846541132865</v>
      </c>
      <c r="AQ69" s="14">
        <v>55.16954668472912</v>
      </c>
      <c r="AR69" s="14">
        <v>21.646444104457785</v>
      </c>
      <c r="AS69" s="14">
        <v>86.079686860708321</v>
      </c>
      <c r="AT69" s="14">
        <v>14.093100422420468</v>
      </c>
      <c r="AU69" s="14">
        <v>89.920997696144696</v>
      </c>
      <c r="AV69" s="14">
        <v>6.9642349601720888</v>
      </c>
      <c r="AW69" s="14">
        <v>85.755144595718704</v>
      </c>
      <c r="AX69" s="14">
        <v>58.782484542212053</v>
      </c>
      <c r="AY69" s="14">
        <v>3.0646807944999299</v>
      </c>
      <c r="AZ69" s="14">
        <v>85.587352006065672</v>
      </c>
      <c r="BA69" s="14">
        <v>53.902210414267557</v>
      </c>
      <c r="BB69" s="14">
        <v>33.926275726870571</v>
      </c>
      <c r="BC69" s="14">
        <v>77.314694566804903</v>
      </c>
      <c r="BD69" s="14">
        <v>66.718756239348139</v>
      </c>
    </row>
    <row r="70" spans="1:56" x14ac:dyDescent="0.3">
      <c r="A70" s="19">
        <v>2015</v>
      </c>
      <c r="B70" s="8" t="s">
        <v>34</v>
      </c>
      <c r="C70" s="8" t="str">
        <f t="shared" si="4"/>
        <v>KS</v>
      </c>
      <c r="D70" s="8" t="str">
        <f t="shared" si="5"/>
        <v>堪萨斯</v>
      </c>
      <c r="E70" s="15">
        <v>28.37963881841987</v>
      </c>
      <c r="F70" s="15">
        <v>90.537302271467198</v>
      </c>
      <c r="G70" s="15">
        <v>0.1312773032629333</v>
      </c>
      <c r="H70" s="15">
        <v>44.970282227346537</v>
      </c>
      <c r="I70" s="15">
        <v>8.0845239664227968</v>
      </c>
      <c r="J70" s="15">
        <v>82.919454828791643</v>
      </c>
      <c r="K70" s="15">
        <v>80.162831416556813</v>
      </c>
      <c r="L70" s="15">
        <v>43.930302138381592</v>
      </c>
      <c r="M70" s="15">
        <v>32.518990872835651</v>
      </c>
      <c r="N70" s="15">
        <v>34.395112181364915</v>
      </c>
      <c r="O70" s="15">
        <v>49.011038459397625</v>
      </c>
      <c r="P70" s="15">
        <v>55.283111096443463</v>
      </c>
      <c r="Q70" s="15">
        <v>58.695725698569312</v>
      </c>
      <c r="R70" s="15">
        <v>12.228578086356057</v>
      </c>
      <c r="S70" s="15">
        <v>73.696506814347501</v>
      </c>
      <c r="T70" s="15">
        <v>83.989092897998063</v>
      </c>
      <c r="U70" s="15">
        <v>91.316679207149363</v>
      </c>
      <c r="V70" s="15">
        <v>6.428522521999791</v>
      </c>
      <c r="W70" s="15">
        <v>10.831154344255456</v>
      </c>
      <c r="X70" s="15">
        <v>28.705123467836223</v>
      </c>
      <c r="Y70" s="15">
        <v>13.454870517103256</v>
      </c>
      <c r="Z70" s="15">
        <v>25.645854116095844</v>
      </c>
      <c r="AA70" s="15">
        <v>87.234085085724089</v>
      </c>
      <c r="AB70" s="15">
        <v>54.742016078307167</v>
      </c>
      <c r="AC70" s="15">
        <v>72.13322699186476</v>
      </c>
      <c r="AD70" s="15">
        <v>54.069664661025108</v>
      </c>
      <c r="AE70" s="15">
        <v>44.721750136705921</v>
      </c>
      <c r="AF70" s="15">
        <v>48.88898681383457</v>
      </c>
      <c r="AG70" s="15">
        <v>71.945223336558399</v>
      </c>
      <c r="AH70" s="15">
        <v>73.819117397138982</v>
      </c>
      <c r="AI70" s="15">
        <v>81.418054006738785</v>
      </c>
      <c r="AJ70" s="15">
        <v>8.7853759636051461</v>
      </c>
      <c r="AK70" s="15">
        <v>52.909347229417477</v>
      </c>
      <c r="AL70" s="15">
        <v>79.177901924837698</v>
      </c>
      <c r="AM70" s="15">
        <v>55.319902492730563</v>
      </c>
      <c r="AN70" s="15">
        <v>90.444501033503244</v>
      </c>
      <c r="AO70" s="15">
        <v>59.677775094579957</v>
      </c>
      <c r="AP70" s="15">
        <v>67.33944565842404</v>
      </c>
      <c r="AQ70" s="15">
        <v>29.542027842922746</v>
      </c>
      <c r="AR70" s="15">
        <v>44.575796557722633</v>
      </c>
      <c r="AS70" s="15">
        <v>98.561438058951154</v>
      </c>
      <c r="AT70" s="15">
        <v>50.404910405383141</v>
      </c>
      <c r="AU70" s="15">
        <v>32.728927518292281</v>
      </c>
      <c r="AV70" s="15">
        <v>96.103014302583276</v>
      </c>
      <c r="AW70" s="15">
        <v>79.138292438587598</v>
      </c>
      <c r="AX70" s="15">
        <v>76.156791619032177</v>
      </c>
      <c r="AY70" s="15">
        <v>60.505831652855846</v>
      </c>
      <c r="AZ70" s="15">
        <v>57.8185580443173</v>
      </c>
      <c r="BA70" s="15">
        <v>81.593703161049774</v>
      </c>
      <c r="BB70" s="15">
        <v>18.797277592334318</v>
      </c>
      <c r="BC70" s="15">
        <v>21.637549841539418</v>
      </c>
      <c r="BD70" s="15">
        <v>68.17283775070166</v>
      </c>
    </row>
    <row r="71" spans="1:56" x14ac:dyDescent="0.3">
      <c r="A71" s="18">
        <v>2015</v>
      </c>
      <c r="B71" s="6" t="s">
        <v>36</v>
      </c>
      <c r="C71" s="6" t="str">
        <f t="shared" si="4"/>
        <v>KY</v>
      </c>
      <c r="D71" s="6" t="str">
        <f t="shared" si="5"/>
        <v>肯塔基州</v>
      </c>
      <c r="E71" s="14">
        <v>36.677519914712299</v>
      </c>
      <c r="F71" s="14">
        <v>18.87704390272711</v>
      </c>
      <c r="G71" s="14">
        <v>70.580329388203353</v>
      </c>
      <c r="H71" s="14">
        <v>30.705491894223169</v>
      </c>
      <c r="I71" s="14">
        <v>37.63153478705172</v>
      </c>
      <c r="J71" s="14">
        <v>68.133483600453175</v>
      </c>
      <c r="K71" s="14">
        <v>78.646299052103004</v>
      </c>
      <c r="L71" s="14">
        <v>77.248156424515173</v>
      </c>
      <c r="M71" s="14">
        <v>98.042933886093408</v>
      </c>
      <c r="N71" s="14">
        <v>76.100420750138596</v>
      </c>
      <c r="O71" s="14">
        <v>95.629072672380005</v>
      </c>
      <c r="P71" s="14">
        <v>40.911842847299908</v>
      </c>
      <c r="Q71" s="14">
        <v>54.201783802772276</v>
      </c>
      <c r="R71" s="14">
        <v>93.913733392210247</v>
      </c>
      <c r="S71" s="14">
        <v>97.361343476338575</v>
      </c>
      <c r="T71" s="14">
        <v>13.471518068875476</v>
      </c>
      <c r="U71" s="14">
        <v>10.885335102696702</v>
      </c>
      <c r="V71" s="14">
        <v>1.2804862095309288</v>
      </c>
      <c r="W71" s="14">
        <v>59.926965014768882</v>
      </c>
      <c r="X71" s="14">
        <v>5.1288654104899685</v>
      </c>
      <c r="Y71" s="14">
        <v>39.108674301077905</v>
      </c>
      <c r="Z71" s="14">
        <v>81.763739055615716</v>
      </c>
      <c r="AA71" s="14">
        <v>44.36883861805341</v>
      </c>
      <c r="AB71" s="14">
        <v>42.351863360513128</v>
      </c>
      <c r="AC71" s="14">
        <v>11.593583673937802</v>
      </c>
      <c r="AD71" s="14">
        <v>59.264384356997013</v>
      </c>
      <c r="AE71" s="14">
        <v>74.638039752335644</v>
      </c>
      <c r="AF71" s="14">
        <v>6.9184597918204531</v>
      </c>
      <c r="AG71" s="14">
        <v>54.938753196961812</v>
      </c>
      <c r="AH71" s="14">
        <v>56.965150007640865</v>
      </c>
      <c r="AI71" s="14">
        <v>59.344158981869008</v>
      </c>
      <c r="AJ71" s="14">
        <v>46.429574097082657</v>
      </c>
      <c r="AK71" s="14">
        <v>88.383614790772398</v>
      </c>
      <c r="AL71" s="14">
        <v>5.7907146927291597</v>
      </c>
      <c r="AM71" s="14">
        <v>36.576775650754648</v>
      </c>
      <c r="AN71" s="14">
        <v>91.59966628219351</v>
      </c>
      <c r="AO71" s="14">
        <v>76.630870723369554</v>
      </c>
      <c r="AP71" s="14">
        <v>83.187392601565534</v>
      </c>
      <c r="AQ71" s="14">
        <v>56.619769796245301</v>
      </c>
      <c r="AR71" s="14">
        <v>98.305573191237855</v>
      </c>
      <c r="AS71" s="14">
        <v>20.869535997484366</v>
      </c>
      <c r="AT71" s="14">
        <v>25.538945429285278</v>
      </c>
      <c r="AU71" s="14">
        <v>65.437006094170968</v>
      </c>
      <c r="AV71" s="14">
        <v>29.092669110615375</v>
      </c>
      <c r="AW71" s="14">
        <v>0.54567879992402091</v>
      </c>
      <c r="AX71" s="14">
        <v>54.439906447363761</v>
      </c>
      <c r="AY71" s="14">
        <v>58.241882906725749</v>
      </c>
      <c r="AZ71" s="14">
        <v>52.338183878253218</v>
      </c>
      <c r="BA71" s="14">
        <v>83.666770742807245</v>
      </c>
      <c r="BB71" s="14">
        <v>70.107041029597553</v>
      </c>
      <c r="BC71" s="14">
        <v>74.82679988560858</v>
      </c>
      <c r="BD71" s="14">
        <v>28.636519598265807</v>
      </c>
    </row>
    <row r="72" spans="1:56" x14ac:dyDescent="0.3">
      <c r="A72" s="19">
        <v>2015</v>
      </c>
      <c r="B72" s="8" t="s">
        <v>38</v>
      </c>
      <c r="C72" s="8" t="str">
        <f t="shared" si="4"/>
        <v>LA</v>
      </c>
      <c r="D72" s="8" t="str">
        <f t="shared" si="5"/>
        <v>路易斯安那州</v>
      </c>
      <c r="E72" s="15">
        <v>0.99586850135389149</v>
      </c>
      <c r="F72" s="15">
        <v>87.925737004366553</v>
      </c>
      <c r="G72" s="15">
        <v>45.473124183428638</v>
      </c>
      <c r="H72" s="15">
        <v>53.284292264122172</v>
      </c>
      <c r="I72" s="15">
        <v>15.648154520068946</v>
      </c>
      <c r="J72" s="15">
        <v>26.369702692466291</v>
      </c>
      <c r="K72" s="15">
        <v>96.168869650948466</v>
      </c>
      <c r="L72" s="15">
        <v>25.632723957746084</v>
      </c>
      <c r="M72" s="15">
        <v>56.619516290464055</v>
      </c>
      <c r="N72" s="15">
        <v>28.311862776092809</v>
      </c>
      <c r="O72" s="15">
        <v>60.38814138810573</v>
      </c>
      <c r="P72" s="15">
        <v>7.2120506534153357</v>
      </c>
      <c r="Q72" s="15">
        <v>30.927652877209908</v>
      </c>
      <c r="R72" s="15">
        <v>73.391679062318218</v>
      </c>
      <c r="S72" s="15">
        <v>98.355772180060555</v>
      </c>
      <c r="T72" s="15">
        <v>53.874037051002958</v>
      </c>
      <c r="U72" s="15">
        <v>49.524642406358154</v>
      </c>
      <c r="V72" s="15">
        <v>35.137262457783848</v>
      </c>
      <c r="W72" s="15">
        <v>29.199173254072399</v>
      </c>
      <c r="X72" s="15">
        <v>94.988369011600398</v>
      </c>
      <c r="Y72" s="15">
        <v>18.7526398762081</v>
      </c>
      <c r="Z72" s="15">
        <v>27.49048105298586</v>
      </c>
      <c r="AA72" s="15">
        <v>28.546473469620224</v>
      </c>
      <c r="AB72" s="15">
        <v>72.801827671550271</v>
      </c>
      <c r="AC72" s="15">
        <v>11.175790852177315</v>
      </c>
      <c r="AD72" s="15">
        <v>24.774035411057206</v>
      </c>
      <c r="AE72" s="15">
        <v>14.730245401534914</v>
      </c>
      <c r="AF72" s="15">
        <v>8.8264531341760595</v>
      </c>
      <c r="AG72" s="15">
        <v>55.400100994773361</v>
      </c>
      <c r="AH72" s="15">
        <v>17.186303215129183</v>
      </c>
      <c r="AI72" s="15">
        <v>88.480215826515661</v>
      </c>
      <c r="AJ72" s="15">
        <v>44.769957418960992</v>
      </c>
      <c r="AK72" s="15">
        <v>60.261414406015092</v>
      </c>
      <c r="AL72" s="15">
        <v>7.2710655522276957</v>
      </c>
      <c r="AM72" s="15">
        <v>4.7930273300030741</v>
      </c>
      <c r="AN72" s="15">
        <v>6.3015094015397395</v>
      </c>
      <c r="AO72" s="15">
        <v>64.563088922339418</v>
      </c>
      <c r="AP72" s="15">
        <v>90.135483941229495</v>
      </c>
      <c r="AQ72" s="15">
        <v>32.054768664586511</v>
      </c>
      <c r="AR72" s="15">
        <v>74.943235212902962</v>
      </c>
      <c r="AS72" s="15">
        <v>10.144813117480933</v>
      </c>
      <c r="AT72" s="15">
        <v>16.326503904551938</v>
      </c>
      <c r="AU72" s="15">
        <v>96.427448422148089</v>
      </c>
      <c r="AV72" s="15">
        <v>41.215712457385358</v>
      </c>
      <c r="AW72" s="15">
        <v>61.082616478302398</v>
      </c>
      <c r="AX72" s="15">
        <v>83.975514629521726</v>
      </c>
      <c r="AY72" s="15">
        <v>93.107069543697179</v>
      </c>
      <c r="AZ72" s="15">
        <v>29.98924050846108</v>
      </c>
      <c r="BA72" s="15">
        <v>54.932338380712373</v>
      </c>
      <c r="BB72" s="15">
        <v>45.312090892296851</v>
      </c>
      <c r="BC72" s="15">
        <v>48.613484003301643</v>
      </c>
      <c r="BD72" s="15">
        <v>42.325179433231433</v>
      </c>
    </row>
    <row r="73" spans="1:56" x14ac:dyDescent="0.3">
      <c r="A73" s="18">
        <v>2015</v>
      </c>
      <c r="B73" s="6" t="s">
        <v>40</v>
      </c>
      <c r="C73" s="6" t="str">
        <f t="shared" si="4"/>
        <v>ME</v>
      </c>
      <c r="D73" s="6" t="str">
        <f t="shared" si="5"/>
        <v>缅因州</v>
      </c>
      <c r="E73" s="14">
        <v>41.143823804872767</v>
      </c>
      <c r="F73" s="14">
        <v>32.72243250642957</v>
      </c>
      <c r="G73" s="14">
        <v>9.6107091395922328</v>
      </c>
      <c r="H73" s="14">
        <v>44.561307328200705</v>
      </c>
      <c r="I73" s="14">
        <v>27.437737399450633</v>
      </c>
      <c r="J73" s="14">
        <v>54.879468425184427</v>
      </c>
      <c r="K73" s="14">
        <v>23.085395369721219</v>
      </c>
      <c r="L73" s="14">
        <v>27.279153920201992</v>
      </c>
      <c r="M73" s="14">
        <v>25.25779307648164</v>
      </c>
      <c r="N73" s="14">
        <v>1.9101268020583873</v>
      </c>
      <c r="O73" s="14">
        <v>4.2945298288489813</v>
      </c>
      <c r="P73" s="14">
        <v>8.088252552620844</v>
      </c>
      <c r="Q73" s="14">
        <v>3.6810675132939563</v>
      </c>
      <c r="R73" s="14">
        <v>1.1653922624504709</v>
      </c>
      <c r="S73" s="14">
        <v>86.937644259951625</v>
      </c>
      <c r="T73" s="14">
        <v>27.91491675920653</v>
      </c>
      <c r="U73" s="14">
        <v>76.03189986717743</v>
      </c>
      <c r="V73" s="14">
        <v>81.528167137734812</v>
      </c>
      <c r="W73" s="14">
        <v>2.0574564232560766</v>
      </c>
      <c r="X73" s="14">
        <v>83.122823443584906</v>
      </c>
      <c r="Y73" s="14">
        <v>5.9756313246819843</v>
      </c>
      <c r="Z73" s="14">
        <v>79.326455883214635</v>
      </c>
      <c r="AA73" s="14">
        <v>89.312938694829128</v>
      </c>
      <c r="AB73" s="14">
        <v>27.509360123771732</v>
      </c>
      <c r="AC73" s="14">
        <v>19.920025673829002</v>
      </c>
      <c r="AD73" s="14">
        <v>6.1021748387699803</v>
      </c>
      <c r="AE73" s="14">
        <v>8.9572909854706122</v>
      </c>
      <c r="AF73" s="14">
        <v>40.420255566133712</v>
      </c>
      <c r="AG73" s="14">
        <v>24.493553582438643</v>
      </c>
      <c r="AH73" s="14">
        <v>19.37741493286369</v>
      </c>
      <c r="AI73" s="14">
        <v>57.351416881120066</v>
      </c>
      <c r="AJ73" s="14">
        <v>44.166202535856328</v>
      </c>
      <c r="AK73" s="14">
        <v>83.983021828819446</v>
      </c>
      <c r="AL73" s="14">
        <v>74.807797107754794</v>
      </c>
      <c r="AM73" s="14">
        <v>98.326681366868655</v>
      </c>
      <c r="AN73" s="14">
        <v>33.155459289113253</v>
      </c>
      <c r="AO73" s="14">
        <v>82.669584102024558</v>
      </c>
      <c r="AP73" s="14">
        <v>32.844714728575738</v>
      </c>
      <c r="AQ73" s="14">
        <v>84.415374348945349</v>
      </c>
      <c r="AR73" s="14">
        <v>28.850863325090138</v>
      </c>
      <c r="AS73" s="14">
        <v>22.521177336542298</v>
      </c>
      <c r="AT73" s="14">
        <v>40.189852851147343</v>
      </c>
      <c r="AU73" s="14">
        <v>89.118431156886203</v>
      </c>
      <c r="AV73" s="14">
        <v>93.060916165486461</v>
      </c>
      <c r="AW73" s="14">
        <v>73.403824467099867</v>
      </c>
      <c r="AX73" s="14">
        <v>40.02596074576973</v>
      </c>
      <c r="AY73" s="14">
        <v>49.702762841530593</v>
      </c>
      <c r="AZ73" s="14">
        <v>60.763589294521992</v>
      </c>
      <c r="BA73" s="14">
        <v>38.298674603798844</v>
      </c>
      <c r="BB73" s="14">
        <v>91.4290362122684</v>
      </c>
      <c r="BC73" s="14">
        <v>34.714205342523741</v>
      </c>
      <c r="BD73" s="14">
        <v>65.648158775703763</v>
      </c>
    </row>
    <row r="74" spans="1:56" x14ac:dyDescent="0.3">
      <c r="A74" s="19">
        <v>2015</v>
      </c>
      <c r="B74" s="8" t="s">
        <v>42</v>
      </c>
      <c r="C74" s="8" t="str">
        <f t="shared" si="4"/>
        <v>MD</v>
      </c>
      <c r="D74" s="8" t="str">
        <f t="shared" si="5"/>
        <v>马里兰</v>
      </c>
      <c r="E74" s="15">
        <v>40.93240311715897</v>
      </c>
      <c r="F74" s="15">
        <v>7.0024927332257185</v>
      </c>
      <c r="G74" s="15">
        <v>5.4063421958643554</v>
      </c>
      <c r="H74" s="15">
        <v>7.5698391804971621</v>
      </c>
      <c r="I74" s="15">
        <v>78.895074774978056</v>
      </c>
      <c r="J74" s="15">
        <v>45.018993525953164</v>
      </c>
      <c r="K74" s="15">
        <v>24.982664284187162</v>
      </c>
      <c r="L74" s="15">
        <v>2.6378992631929665</v>
      </c>
      <c r="M74" s="15">
        <v>40.845128953315935</v>
      </c>
      <c r="N74" s="15">
        <v>0.98086464840616561</v>
      </c>
      <c r="O74" s="15">
        <v>44.296071589084143</v>
      </c>
      <c r="P74" s="15">
        <v>3.3194976717737301</v>
      </c>
      <c r="Q74" s="15">
        <v>31.92677554834038</v>
      </c>
      <c r="R74" s="15">
        <v>82.769975955204785</v>
      </c>
      <c r="S74" s="15">
        <v>11.703831629740936</v>
      </c>
      <c r="T74" s="15">
        <v>36.169655971084389</v>
      </c>
      <c r="U74" s="15">
        <v>56.143052884007091</v>
      </c>
      <c r="V74" s="15">
        <v>16.535519931536236</v>
      </c>
      <c r="W74" s="15">
        <v>61.265264780070808</v>
      </c>
      <c r="X74" s="15">
        <v>8.2906689692101807</v>
      </c>
      <c r="Y74" s="15">
        <v>21.198331252950108</v>
      </c>
      <c r="Z74" s="15">
        <v>63.587524309139511</v>
      </c>
      <c r="AA74" s="15">
        <v>7.4636823408474218</v>
      </c>
      <c r="AB74" s="15">
        <v>42.470868539160755</v>
      </c>
      <c r="AC74" s="15">
        <v>13.677137288863882</v>
      </c>
      <c r="AD74" s="15">
        <v>66.376114905472079</v>
      </c>
      <c r="AE74" s="15">
        <v>41.583635329953616</v>
      </c>
      <c r="AF74" s="15">
        <v>51.332285324515311</v>
      </c>
      <c r="AG74" s="15">
        <v>30.834103072627173</v>
      </c>
      <c r="AH74" s="15">
        <v>42.656096620306883</v>
      </c>
      <c r="AI74" s="15">
        <v>53.106631897064602</v>
      </c>
      <c r="AJ74" s="15">
        <v>65.6847821628768</v>
      </c>
      <c r="AK74" s="15">
        <v>86.242460549762299</v>
      </c>
      <c r="AL74" s="15">
        <v>41.011373308942346</v>
      </c>
      <c r="AM74" s="15">
        <v>95.63130109076215</v>
      </c>
      <c r="AN74" s="15">
        <v>99.651005460078537</v>
      </c>
      <c r="AO74" s="15">
        <v>27.384625438825015</v>
      </c>
      <c r="AP74" s="15">
        <v>32.987726911648039</v>
      </c>
      <c r="AQ74" s="15">
        <v>73.749253832041475</v>
      </c>
      <c r="AR74" s="15">
        <v>14.28885202250102</v>
      </c>
      <c r="AS74" s="15">
        <v>82.573035006210333</v>
      </c>
      <c r="AT74" s="15">
        <v>46.835083137355227</v>
      </c>
      <c r="AU74" s="15">
        <v>21.369727153965755</v>
      </c>
      <c r="AV74" s="15">
        <v>51.978980989253486</v>
      </c>
      <c r="AW74" s="15">
        <v>2.3261619735350014</v>
      </c>
      <c r="AX74" s="15">
        <v>81.591706884703868</v>
      </c>
      <c r="AY74" s="15">
        <v>98.135772847105272</v>
      </c>
      <c r="AZ74" s="15">
        <v>28.07550193077595</v>
      </c>
      <c r="BA74" s="15">
        <v>25.301750299003988</v>
      </c>
      <c r="BB74" s="15">
        <v>30.110337556423406</v>
      </c>
      <c r="BC74" s="15">
        <v>72.978238333733842</v>
      </c>
      <c r="BD74" s="15">
        <v>41.791374754105036</v>
      </c>
    </row>
    <row r="75" spans="1:56" x14ac:dyDescent="0.3">
      <c r="A75" s="18">
        <v>2015</v>
      </c>
      <c r="B75" s="6" t="s">
        <v>44</v>
      </c>
      <c r="C75" s="6" t="str">
        <f t="shared" si="4"/>
        <v>MA</v>
      </c>
      <c r="D75" s="6" t="str">
        <f t="shared" si="5"/>
        <v>麻萨诸塞州</v>
      </c>
      <c r="E75" s="14">
        <v>35.272172902772226</v>
      </c>
      <c r="F75" s="14">
        <v>73.942157374046246</v>
      </c>
      <c r="G75" s="14">
        <v>94.766264043723538</v>
      </c>
      <c r="H75" s="14">
        <v>60.281476503271612</v>
      </c>
      <c r="I75" s="14">
        <v>31.263454764526134</v>
      </c>
      <c r="J75" s="14">
        <v>24.48403482491387</v>
      </c>
      <c r="K75" s="14">
        <v>98.724346268716701</v>
      </c>
      <c r="L75" s="14">
        <v>92.950487054407787</v>
      </c>
      <c r="M75" s="14">
        <v>66.469585547900707</v>
      </c>
      <c r="N75" s="14">
        <v>66.42261169827934</v>
      </c>
      <c r="O75" s="14">
        <v>45.667220740708572</v>
      </c>
      <c r="P75" s="14">
        <v>53.565909916885602</v>
      </c>
      <c r="Q75" s="14">
        <v>56.906478879027219</v>
      </c>
      <c r="R75" s="14">
        <v>62.67026300731294</v>
      </c>
      <c r="S75" s="14">
        <v>81.882608620004376</v>
      </c>
      <c r="T75" s="14">
        <v>86.800962094667938</v>
      </c>
      <c r="U75" s="14">
        <v>83.667340445432458</v>
      </c>
      <c r="V75" s="14">
        <v>73.402234046199027</v>
      </c>
      <c r="W75" s="14">
        <v>14.745879707293907</v>
      </c>
      <c r="X75" s="14">
        <v>19.531680298806165</v>
      </c>
      <c r="Y75" s="14">
        <v>76.345338196342539</v>
      </c>
      <c r="Z75" s="14">
        <v>90.063898835470894</v>
      </c>
      <c r="AA75" s="14">
        <v>20.7616934870005</v>
      </c>
      <c r="AB75" s="14">
        <v>60.959495755310513</v>
      </c>
      <c r="AC75" s="14">
        <v>97.272189905858966</v>
      </c>
      <c r="AD75" s="14">
        <v>69.341861379729949</v>
      </c>
      <c r="AE75" s="14">
        <v>61.343140977659814</v>
      </c>
      <c r="AF75" s="14">
        <v>1.3615876687342321</v>
      </c>
      <c r="AG75" s="14">
        <v>23.406738871977161</v>
      </c>
      <c r="AH75" s="14">
        <v>35.023350246618158</v>
      </c>
      <c r="AI75" s="14">
        <v>27.503010852075029</v>
      </c>
      <c r="AJ75" s="14">
        <v>48.480272318693686</v>
      </c>
      <c r="AK75" s="14">
        <v>12.889457853816976</v>
      </c>
      <c r="AL75" s="14">
        <v>39.707490588022957</v>
      </c>
      <c r="AM75" s="14">
        <v>87.751197698611335</v>
      </c>
      <c r="AN75" s="14">
        <v>55.492655119827624</v>
      </c>
      <c r="AO75" s="14">
        <v>63.647833008799395</v>
      </c>
      <c r="AP75" s="14">
        <v>6.7015493675912863</v>
      </c>
      <c r="AQ75" s="14">
        <v>68.665450678469711</v>
      </c>
      <c r="AR75" s="14">
        <v>80.283590398891278</v>
      </c>
      <c r="AS75" s="14">
        <v>15.357400513535946</v>
      </c>
      <c r="AT75" s="14">
        <v>0.43053267780386317</v>
      </c>
      <c r="AU75" s="14">
        <v>56.209247314878198</v>
      </c>
      <c r="AV75" s="14">
        <v>16.896607133491383</v>
      </c>
      <c r="AW75" s="14">
        <v>34.624561697314569</v>
      </c>
      <c r="AX75" s="14">
        <v>18.785443731163586</v>
      </c>
      <c r="AY75" s="14">
        <v>84.214934729201303</v>
      </c>
      <c r="AZ75" s="14">
        <v>48.706515956279695</v>
      </c>
      <c r="BA75" s="14">
        <v>94.718835198316427</v>
      </c>
      <c r="BB75" s="14">
        <v>43.449559020261162</v>
      </c>
      <c r="BC75" s="14">
        <v>21.163064054723101</v>
      </c>
      <c r="BD75" s="14">
        <v>28.58744561872405</v>
      </c>
    </row>
    <row r="76" spans="1:56" x14ac:dyDescent="0.3">
      <c r="A76" s="19">
        <v>2015</v>
      </c>
      <c r="B76" s="8" t="s">
        <v>46</v>
      </c>
      <c r="C76" s="8" t="str">
        <f t="shared" si="4"/>
        <v>MI</v>
      </c>
      <c r="D76" s="8" t="str">
        <f t="shared" si="5"/>
        <v>密歇根</v>
      </c>
      <c r="E76" s="15">
        <v>10.335636054642439</v>
      </c>
      <c r="F76" s="15">
        <v>96.340867212205936</v>
      </c>
      <c r="G76" s="15">
        <v>91.502459420975455</v>
      </c>
      <c r="H76" s="15">
        <v>48.159096756160103</v>
      </c>
      <c r="I76" s="15">
        <v>40.567210481801595</v>
      </c>
      <c r="J76" s="15">
        <v>55.758451629130747</v>
      </c>
      <c r="K76" s="15">
        <v>83.548575526238295</v>
      </c>
      <c r="L76" s="15">
        <v>16.893848049139127</v>
      </c>
      <c r="M76" s="15">
        <v>55.276153774622351</v>
      </c>
      <c r="N76" s="15">
        <v>61.081990256512285</v>
      </c>
      <c r="O76" s="15">
        <v>77.411939383098684</v>
      </c>
      <c r="P76" s="15">
        <v>77.918760793587822</v>
      </c>
      <c r="Q76" s="15">
        <v>81.218348021050801</v>
      </c>
      <c r="R76" s="15">
        <v>1.4758224860707325</v>
      </c>
      <c r="S76" s="15">
        <v>66.035304376073739</v>
      </c>
      <c r="T76" s="15">
        <v>83.781758394512863</v>
      </c>
      <c r="U76" s="15">
        <v>68.035838396684255</v>
      </c>
      <c r="V76" s="15">
        <v>40.385068951413359</v>
      </c>
      <c r="W76" s="15">
        <v>82.079502996030357</v>
      </c>
      <c r="X76" s="15">
        <v>47.916295571552745</v>
      </c>
      <c r="Y76" s="15">
        <v>63.138879442970399</v>
      </c>
      <c r="Z76" s="15">
        <v>69.346789780069898</v>
      </c>
      <c r="AA76" s="15">
        <v>87.523358253340348</v>
      </c>
      <c r="AB76" s="15">
        <v>35.8185256698806</v>
      </c>
      <c r="AC76" s="15">
        <v>88.860608090230158</v>
      </c>
      <c r="AD76" s="15">
        <v>61.367417637303198</v>
      </c>
      <c r="AE76" s="15">
        <v>10.043724729713821</v>
      </c>
      <c r="AF76" s="15">
        <v>23.270060858399244</v>
      </c>
      <c r="AG76" s="15">
        <v>30.929079359544897</v>
      </c>
      <c r="AH76" s="15">
        <v>51.886157953228498</v>
      </c>
      <c r="AI76" s="15">
        <v>79.075317314052867</v>
      </c>
      <c r="AJ76" s="15">
        <v>78.381089392612807</v>
      </c>
      <c r="AK76" s="15">
        <v>35.066434725736372</v>
      </c>
      <c r="AL76" s="15">
        <v>11.21624654179001</v>
      </c>
      <c r="AM76" s="15">
        <v>74.114506401292374</v>
      </c>
      <c r="AN76" s="15">
        <v>54.923387139413734</v>
      </c>
      <c r="AO76" s="15">
        <v>49.800409458688733</v>
      </c>
      <c r="AP76" s="15">
        <v>9.6454634765119618</v>
      </c>
      <c r="AQ76" s="15">
        <v>15.886372487311951</v>
      </c>
      <c r="AR76" s="15">
        <v>54.487615053340974</v>
      </c>
      <c r="AS76" s="15">
        <v>97.748792418672878</v>
      </c>
      <c r="AT76" s="15">
        <v>96.075329794151628</v>
      </c>
      <c r="AU76" s="15">
        <v>69.794020851049169</v>
      </c>
      <c r="AV76" s="15">
        <v>88.297053207172056</v>
      </c>
      <c r="AW76" s="15">
        <v>84.327448510861132</v>
      </c>
      <c r="AX76" s="15">
        <v>56.701937539753935</v>
      </c>
      <c r="AY76" s="15">
        <v>82.533047420822854</v>
      </c>
      <c r="AZ76" s="15">
        <v>47.540803312670036</v>
      </c>
      <c r="BA76" s="15">
        <v>47.393400160443022</v>
      </c>
      <c r="BB76" s="15">
        <v>27.396842927746544</v>
      </c>
      <c r="BC76" s="15">
        <v>41.081115584147618</v>
      </c>
      <c r="BD76" s="15">
        <v>6.7878749302231149</v>
      </c>
    </row>
    <row r="77" spans="1:56" x14ac:dyDescent="0.3">
      <c r="A77" s="18">
        <v>2015</v>
      </c>
      <c r="B77" s="6" t="s">
        <v>48</v>
      </c>
      <c r="C77" s="6" t="str">
        <f t="shared" si="4"/>
        <v>MN</v>
      </c>
      <c r="D77" s="6" t="str">
        <f t="shared" si="5"/>
        <v>明尼苏达州</v>
      </c>
      <c r="E77" s="14">
        <v>8.6324302845631635</v>
      </c>
      <c r="F77" s="14">
        <v>32.417998528658366</v>
      </c>
      <c r="G77" s="14">
        <v>76.948871794602852</v>
      </c>
      <c r="H77" s="14">
        <v>53.595211091541863</v>
      </c>
      <c r="I77" s="14">
        <v>19.307545648382764</v>
      </c>
      <c r="J77" s="14">
        <v>27.183847522666372</v>
      </c>
      <c r="K77" s="14">
        <v>59.176954153819395</v>
      </c>
      <c r="L77" s="14">
        <v>55.137752009821206</v>
      </c>
      <c r="M77" s="14">
        <v>42.00068474911216</v>
      </c>
      <c r="N77" s="14">
        <v>81.411904534232463</v>
      </c>
      <c r="O77" s="14">
        <v>63.599827579195242</v>
      </c>
      <c r="P77" s="14">
        <v>61.323803071099327</v>
      </c>
      <c r="Q77" s="14">
        <v>29.568134434146032</v>
      </c>
      <c r="R77" s="14">
        <v>3.0610849074981905</v>
      </c>
      <c r="S77" s="14">
        <v>76.804340218354909</v>
      </c>
      <c r="T77" s="14">
        <v>68.563335717619722</v>
      </c>
      <c r="U77" s="14">
        <v>24.636125442518551</v>
      </c>
      <c r="V77" s="14">
        <v>38.301558238451641</v>
      </c>
      <c r="W77" s="14">
        <v>34.46454807578818</v>
      </c>
      <c r="X77" s="14">
        <v>72.450504488414452</v>
      </c>
      <c r="Y77" s="14">
        <v>78.052548112532875</v>
      </c>
      <c r="Z77" s="14">
        <v>18.189364311400357</v>
      </c>
      <c r="AA77" s="14">
        <v>89.97116862303956</v>
      </c>
      <c r="AB77" s="14">
        <v>40.507622160677371</v>
      </c>
      <c r="AC77" s="14">
        <v>56.687730990732497</v>
      </c>
      <c r="AD77" s="14">
        <v>76.923626937911393</v>
      </c>
      <c r="AE77" s="14">
        <v>37.403530684110173</v>
      </c>
      <c r="AF77" s="14">
        <v>68.715028222229847</v>
      </c>
      <c r="AG77" s="14">
        <v>59.655235690511567</v>
      </c>
      <c r="AH77" s="14">
        <v>39.793030551577679</v>
      </c>
      <c r="AI77" s="14">
        <v>95.936074010874236</v>
      </c>
      <c r="AJ77" s="14">
        <v>51.392628562049836</v>
      </c>
      <c r="AK77" s="14">
        <v>76.466327595685783</v>
      </c>
      <c r="AL77" s="14">
        <v>32.791990833654694</v>
      </c>
      <c r="AM77" s="14">
        <v>98.185638809635392</v>
      </c>
      <c r="AN77" s="14">
        <v>32.88489745783756</v>
      </c>
      <c r="AO77" s="14">
        <v>89.516468682298267</v>
      </c>
      <c r="AP77" s="14">
        <v>11.655236959729621</v>
      </c>
      <c r="AQ77" s="14">
        <v>63.539403567520694</v>
      </c>
      <c r="AR77" s="14">
        <v>9.2463879594333989</v>
      </c>
      <c r="AS77" s="14">
        <v>78.84082302736455</v>
      </c>
      <c r="AT77" s="14">
        <v>75.755249206709919</v>
      </c>
      <c r="AU77" s="14">
        <v>49.734383733600836</v>
      </c>
      <c r="AV77" s="14">
        <v>21.161934880488118</v>
      </c>
      <c r="AW77" s="14">
        <v>38.069061419466919</v>
      </c>
      <c r="AX77" s="14">
        <v>94.229000652426876</v>
      </c>
      <c r="AY77" s="14">
        <v>41.882563189207985</v>
      </c>
      <c r="AZ77" s="14">
        <v>70.788376810729275</v>
      </c>
      <c r="BA77" s="14">
        <v>91.588050273184479</v>
      </c>
      <c r="BB77" s="14">
        <v>20.103989913755193</v>
      </c>
      <c r="BC77" s="14">
        <v>60.809790064068537</v>
      </c>
      <c r="BD77" s="14">
        <v>56.71492649954223</v>
      </c>
    </row>
    <row r="78" spans="1:56" x14ac:dyDescent="0.3">
      <c r="A78" s="19">
        <v>2015</v>
      </c>
      <c r="B78" s="8" t="s">
        <v>50</v>
      </c>
      <c r="C78" s="8" t="str">
        <f t="shared" si="4"/>
        <v>MS</v>
      </c>
      <c r="D78" s="8" t="str">
        <f t="shared" si="5"/>
        <v>密西西比州</v>
      </c>
      <c r="E78" s="15">
        <v>40.165592183892983</v>
      </c>
      <c r="F78" s="15">
        <v>68.80613672446087</v>
      </c>
      <c r="G78" s="15">
        <v>30.551621186135957</v>
      </c>
      <c r="H78" s="15">
        <v>25.531107091012128</v>
      </c>
      <c r="I78" s="15">
        <v>70.800066917490184</v>
      </c>
      <c r="J78" s="15">
        <v>25.099721074002112</v>
      </c>
      <c r="K78" s="15">
        <v>64.04404016473984</v>
      </c>
      <c r="L78" s="15">
        <v>9.3546944685031992</v>
      </c>
      <c r="M78" s="15">
        <v>98.942635496663513</v>
      </c>
      <c r="N78" s="15">
        <v>7.3185248740522351</v>
      </c>
      <c r="O78" s="15">
        <v>58.42522696193425</v>
      </c>
      <c r="P78" s="15">
        <v>25.358924050986943</v>
      </c>
      <c r="Q78" s="15">
        <v>21.581655158477432</v>
      </c>
      <c r="R78" s="15">
        <v>66.646889007387728</v>
      </c>
      <c r="S78" s="15">
        <v>16.05040251925951</v>
      </c>
      <c r="T78" s="15">
        <v>27.059652808067312</v>
      </c>
      <c r="U78" s="15">
        <v>70.419588439993746</v>
      </c>
      <c r="V78" s="15">
        <v>49.773513095456302</v>
      </c>
      <c r="W78" s="15">
        <v>52.838037667714367</v>
      </c>
      <c r="X78" s="15">
        <v>47.683796776886979</v>
      </c>
      <c r="Y78" s="15">
        <v>73.676526807114257</v>
      </c>
      <c r="Z78" s="15">
        <v>26.562485467653008</v>
      </c>
      <c r="AA78" s="15">
        <v>85.403151873672869</v>
      </c>
      <c r="AB78" s="15">
        <v>29.508413539356649</v>
      </c>
      <c r="AC78" s="15">
        <v>62.647502910416883</v>
      </c>
      <c r="AD78" s="15">
        <v>29.699777672908169</v>
      </c>
      <c r="AE78" s="15">
        <v>68.75625540722865</v>
      </c>
      <c r="AF78" s="15">
        <v>90.281766702584193</v>
      </c>
      <c r="AG78" s="15">
        <v>80.03108343227386</v>
      </c>
      <c r="AH78" s="15">
        <v>98.710237262156994</v>
      </c>
      <c r="AI78" s="15">
        <v>72.819488336930618</v>
      </c>
      <c r="AJ78" s="15">
        <v>44.044516953563473</v>
      </c>
      <c r="AK78" s="15">
        <v>51.254651333617232</v>
      </c>
      <c r="AL78" s="15">
        <v>74.9695503173281</v>
      </c>
      <c r="AM78" s="15">
        <v>48.211750496784035</v>
      </c>
      <c r="AN78" s="15">
        <v>53.866816680003197</v>
      </c>
      <c r="AO78" s="15">
        <v>17.595347117577344</v>
      </c>
      <c r="AP78" s="15">
        <v>15.065368898016029</v>
      </c>
      <c r="AQ78" s="15">
        <v>72.828606993505289</v>
      </c>
      <c r="AR78" s="15">
        <v>95.219464478394684</v>
      </c>
      <c r="AS78" s="15">
        <v>79.786202553517498</v>
      </c>
      <c r="AT78" s="15">
        <v>79.264298713636862</v>
      </c>
      <c r="AU78" s="15">
        <v>43.779676902119306</v>
      </c>
      <c r="AV78" s="15">
        <v>51.73539638304814</v>
      </c>
      <c r="AW78" s="15">
        <v>48.261472955693783</v>
      </c>
      <c r="AX78" s="15">
        <v>16.716849870521333</v>
      </c>
      <c r="AY78" s="15">
        <v>26.74277154120157</v>
      </c>
      <c r="AZ78" s="15">
        <v>7.3957192809720791</v>
      </c>
      <c r="BA78" s="15">
        <v>5.63928735618342</v>
      </c>
      <c r="BB78" s="15">
        <v>1.4290564713826615</v>
      </c>
      <c r="BC78" s="15">
        <v>75.188969193420846</v>
      </c>
      <c r="BD78" s="15">
        <v>50.893006567430923</v>
      </c>
    </row>
    <row r="79" spans="1:56" x14ac:dyDescent="0.3">
      <c r="A79" s="18">
        <v>2015</v>
      </c>
      <c r="B79" s="6" t="s">
        <v>52</v>
      </c>
      <c r="C79" s="6" t="str">
        <f t="shared" si="4"/>
        <v>MO</v>
      </c>
      <c r="D79" s="6" t="str">
        <f t="shared" si="5"/>
        <v>密苏里州</v>
      </c>
      <c r="E79" s="14">
        <v>32.835318315927339</v>
      </c>
      <c r="F79" s="14">
        <v>49.004366289551271</v>
      </c>
      <c r="G79" s="14">
        <v>27.534283531294957</v>
      </c>
      <c r="H79" s="14">
        <v>74.004897549999626</v>
      </c>
      <c r="I79" s="14">
        <v>23.706580596761807</v>
      </c>
      <c r="J79" s="14">
        <v>75.232876674800892</v>
      </c>
      <c r="K79" s="14">
        <v>7.3870926865011732</v>
      </c>
      <c r="L79" s="14">
        <v>71.064700227391455</v>
      </c>
      <c r="M79" s="14">
        <v>26.014439409134383</v>
      </c>
      <c r="N79" s="14">
        <v>53.450950887614532</v>
      </c>
      <c r="O79" s="14">
        <v>94.18747882406268</v>
      </c>
      <c r="P79" s="14">
        <v>49.750633926735631</v>
      </c>
      <c r="Q79" s="14">
        <v>68.232866298165121</v>
      </c>
      <c r="R79" s="14">
        <v>5.6691539128154727</v>
      </c>
      <c r="S79" s="14">
        <v>77.277062754636887</v>
      </c>
      <c r="T79" s="14">
        <v>73.154709045426017</v>
      </c>
      <c r="U79" s="14">
        <v>89.221997941027126</v>
      </c>
      <c r="V79" s="14">
        <v>96.52221884948645</v>
      </c>
      <c r="W79" s="14">
        <v>58.496969787849828</v>
      </c>
      <c r="X79" s="14">
        <v>38.2473208044714</v>
      </c>
      <c r="Y79" s="14">
        <v>89.990668847713593</v>
      </c>
      <c r="Z79" s="14">
        <v>72.734146935684635</v>
      </c>
      <c r="AA79" s="14">
        <v>99.305316165506639</v>
      </c>
      <c r="AB79" s="14">
        <v>88.928477395351706</v>
      </c>
      <c r="AC79" s="14">
        <v>90.443626239673378</v>
      </c>
      <c r="AD79" s="14">
        <v>49.946940079923671</v>
      </c>
      <c r="AE79" s="14">
        <v>18.701282976911472</v>
      </c>
      <c r="AF79" s="14">
        <v>19.46121227019345</v>
      </c>
      <c r="AG79" s="14">
        <v>35.199520169274443</v>
      </c>
      <c r="AH79" s="14">
        <v>88.089018406831215</v>
      </c>
      <c r="AI79" s="14">
        <v>11.666178728403874</v>
      </c>
      <c r="AJ79" s="14">
        <v>92.702423268600796</v>
      </c>
      <c r="AK79" s="14">
        <v>97.968583734083722</v>
      </c>
      <c r="AL79" s="14">
        <v>92.69213807173287</v>
      </c>
      <c r="AM79" s="14">
        <v>76.351639789955129</v>
      </c>
      <c r="AN79" s="14">
        <v>99.271244411158207</v>
      </c>
      <c r="AO79" s="14">
        <v>4.187477166125575</v>
      </c>
      <c r="AP79" s="14">
        <v>91.307722161205788</v>
      </c>
      <c r="AQ79" s="14">
        <v>63.914183479979002</v>
      </c>
      <c r="AR79" s="14">
        <v>81.828970842208477</v>
      </c>
      <c r="AS79" s="14">
        <v>54.437401366767965</v>
      </c>
      <c r="AT79" s="14">
        <v>90.646995920498412</v>
      </c>
      <c r="AU79" s="14">
        <v>78.884558269986002</v>
      </c>
      <c r="AV79" s="14">
        <v>52.568250061740372</v>
      </c>
      <c r="AW79" s="14">
        <v>51.771239587212094</v>
      </c>
      <c r="AX79" s="14">
        <v>45.898139663728877</v>
      </c>
      <c r="AY79" s="14">
        <v>14.82223857173145</v>
      </c>
      <c r="AZ79" s="14">
        <v>50.946208040900352</v>
      </c>
      <c r="BA79" s="14">
        <v>1.563648528149808</v>
      </c>
      <c r="BB79" s="14">
        <v>1.7529158899291963</v>
      </c>
      <c r="BC79" s="14">
        <v>33.719539346108377</v>
      </c>
      <c r="BD79" s="14">
        <v>22.920323091358419</v>
      </c>
    </row>
    <row r="80" spans="1:56" x14ac:dyDescent="0.3">
      <c r="A80" s="19">
        <v>2015</v>
      </c>
      <c r="B80" s="8" t="s">
        <v>54</v>
      </c>
      <c r="C80" s="8" t="str">
        <f t="shared" si="4"/>
        <v>MT</v>
      </c>
      <c r="D80" s="8" t="str">
        <f t="shared" si="5"/>
        <v>蒙大拿</v>
      </c>
      <c r="E80" s="15">
        <v>55.493037931747594</v>
      </c>
      <c r="F80" s="15">
        <v>55.28643774367945</v>
      </c>
      <c r="G80" s="15">
        <v>75.914946164594255</v>
      </c>
      <c r="H80" s="15">
        <v>7.0083163575226699</v>
      </c>
      <c r="I80" s="15">
        <v>79.74598509151501</v>
      </c>
      <c r="J80" s="15">
        <v>17.360604345264854</v>
      </c>
      <c r="K80" s="15">
        <v>61.300597296540516</v>
      </c>
      <c r="L80" s="15">
        <v>36.350300960861169</v>
      </c>
      <c r="M80" s="15">
        <v>61.58559855444183</v>
      </c>
      <c r="N80" s="15">
        <v>82.045181316005383</v>
      </c>
      <c r="O80" s="15">
        <v>7.7333503033558459</v>
      </c>
      <c r="P80" s="15">
        <v>17.788343242696069</v>
      </c>
      <c r="Q80" s="15">
        <v>44.376867485447292</v>
      </c>
      <c r="R80" s="15">
        <v>65.166871683816893</v>
      </c>
      <c r="S80" s="15">
        <v>51.032225478059935</v>
      </c>
      <c r="T80" s="15">
        <v>36.917573609459573</v>
      </c>
      <c r="U80" s="15">
        <v>28.404921024781736</v>
      </c>
      <c r="V80" s="15">
        <v>64.915151405378069</v>
      </c>
      <c r="W80" s="15">
        <v>97.932952577639327</v>
      </c>
      <c r="X80" s="15">
        <v>32.010878879987182</v>
      </c>
      <c r="Y80" s="15">
        <v>28.932117731950079</v>
      </c>
      <c r="Z80" s="15">
        <v>80.959365469670971</v>
      </c>
      <c r="AA80" s="15">
        <v>71.10728101992396</v>
      </c>
      <c r="AB80" s="15">
        <v>80.772652937656204</v>
      </c>
      <c r="AC80" s="15">
        <v>12.493553410359926</v>
      </c>
      <c r="AD80" s="15">
        <v>5.8781880912488482</v>
      </c>
      <c r="AE80" s="15">
        <v>61.468234341660555</v>
      </c>
      <c r="AF80" s="15">
        <v>63.539572157172309</v>
      </c>
      <c r="AG80" s="15">
        <v>42.479096923305235</v>
      </c>
      <c r="AH80" s="15">
        <v>31.12753040393692</v>
      </c>
      <c r="AI80" s="15">
        <v>46.495039800580251</v>
      </c>
      <c r="AJ80" s="15">
        <v>57.536352651399028</v>
      </c>
      <c r="AK80" s="15">
        <v>15.629180733497982</v>
      </c>
      <c r="AL80" s="15">
        <v>69.278877777603782</v>
      </c>
      <c r="AM80" s="15">
        <v>12.573257908841107</v>
      </c>
      <c r="AN80" s="15">
        <v>19.918283331784302</v>
      </c>
      <c r="AO80" s="15">
        <v>95.747336871252813</v>
      </c>
      <c r="AP80" s="15">
        <v>54.756091531264218</v>
      </c>
      <c r="AQ80" s="15">
        <v>18.56958949957923</v>
      </c>
      <c r="AR80" s="15">
        <v>70.074328301225407</v>
      </c>
      <c r="AS80" s="15">
        <v>3.8554440157043124</v>
      </c>
      <c r="AT80" s="15">
        <v>33.614304098797106</v>
      </c>
      <c r="AU80" s="15">
        <v>13.683430760164972</v>
      </c>
      <c r="AV80" s="15">
        <v>58.497518139186219</v>
      </c>
      <c r="AW80" s="15">
        <v>88.784633462506008</v>
      </c>
      <c r="AX80" s="15">
        <v>15.383229170394753</v>
      </c>
      <c r="AY80" s="15">
        <v>74.44612674216188</v>
      </c>
      <c r="AZ80" s="15">
        <v>30.500636146596506</v>
      </c>
      <c r="BA80" s="15">
        <v>42.574461965277379</v>
      </c>
      <c r="BB80" s="15">
        <v>91.766590058485022</v>
      </c>
      <c r="BC80" s="15">
        <v>31.17406422489951</v>
      </c>
      <c r="BD80" s="15">
        <v>69.33175138924598</v>
      </c>
    </row>
    <row r="81" spans="1:56" x14ac:dyDescent="0.3">
      <c r="A81" s="18">
        <v>2015</v>
      </c>
      <c r="B81" s="6" t="s">
        <v>56</v>
      </c>
      <c r="C81" s="6" t="str">
        <f t="shared" si="4"/>
        <v>NE</v>
      </c>
      <c r="D81" s="6" t="str">
        <f t="shared" si="5"/>
        <v>内布拉斯加州</v>
      </c>
      <c r="E81" s="14">
        <v>25.037139187418976</v>
      </c>
      <c r="F81" s="14">
        <v>53.621318993513178</v>
      </c>
      <c r="G81" s="14">
        <v>62.774379103981524</v>
      </c>
      <c r="H81" s="14">
        <v>96.695746399815846</v>
      </c>
      <c r="I81" s="14">
        <v>55.853036123888103</v>
      </c>
      <c r="J81" s="14">
        <v>34.498373218329291</v>
      </c>
      <c r="K81" s="14">
        <v>83.154567069189085</v>
      </c>
      <c r="L81" s="14">
        <v>80.123369130054783</v>
      </c>
      <c r="M81" s="14">
        <v>80.426394431816533</v>
      </c>
      <c r="N81" s="14">
        <v>26.79538194748049</v>
      </c>
      <c r="O81" s="14">
        <v>55.988502893376435</v>
      </c>
      <c r="P81" s="14">
        <v>94.964576038577462</v>
      </c>
      <c r="Q81" s="14">
        <v>90.068878213548189</v>
      </c>
      <c r="R81" s="14">
        <v>53.949499204225319</v>
      </c>
      <c r="S81" s="14">
        <v>24.028428513511145</v>
      </c>
      <c r="T81" s="14">
        <v>37.265544256058448</v>
      </c>
      <c r="U81" s="14">
        <v>87.021822455839484</v>
      </c>
      <c r="V81" s="14">
        <v>49.921514755918807</v>
      </c>
      <c r="W81" s="14">
        <v>37.021326793731355</v>
      </c>
      <c r="X81" s="14">
        <v>90.812170124111546</v>
      </c>
      <c r="Y81" s="14">
        <v>3.6471679699021764</v>
      </c>
      <c r="Z81" s="14">
        <v>9.8384516593510227</v>
      </c>
      <c r="AA81" s="14">
        <v>72.690992838662609</v>
      </c>
      <c r="AB81" s="14">
        <v>75.211229246938828</v>
      </c>
      <c r="AC81" s="14">
        <v>53.17363594798379</v>
      </c>
      <c r="AD81" s="14">
        <v>19.477659956034842</v>
      </c>
      <c r="AE81" s="14">
        <v>91.164063541332595</v>
      </c>
      <c r="AF81" s="14">
        <v>54.340697990467987</v>
      </c>
      <c r="AG81" s="14">
        <v>84.887831964551367</v>
      </c>
      <c r="AH81" s="14">
        <v>10.82841459617595</v>
      </c>
      <c r="AI81" s="14">
        <v>68.323943054297729</v>
      </c>
      <c r="AJ81" s="14">
        <v>93.386360054871034</v>
      </c>
      <c r="AK81" s="14">
        <v>24.933028304427229</v>
      </c>
      <c r="AL81" s="14">
        <v>0.79189985789412942</v>
      </c>
      <c r="AM81" s="14">
        <v>27.399016045449876</v>
      </c>
      <c r="AN81" s="14">
        <v>59.629856602710603</v>
      </c>
      <c r="AO81" s="14">
        <v>19.901021030833764</v>
      </c>
      <c r="AP81" s="14">
        <v>82.247943584250706</v>
      </c>
      <c r="AQ81" s="14">
        <v>75.437821131993871</v>
      </c>
      <c r="AR81" s="14">
        <v>59.321505814404674</v>
      </c>
      <c r="AS81" s="14">
        <v>60.66242072408351</v>
      </c>
      <c r="AT81" s="14">
        <v>27.737940160513052</v>
      </c>
      <c r="AU81" s="14">
        <v>87.733119329483188</v>
      </c>
      <c r="AV81" s="14">
        <v>81.958095687453991</v>
      </c>
      <c r="AW81" s="14">
        <v>55.350257360673027</v>
      </c>
      <c r="AX81" s="14">
        <v>67.139409509498421</v>
      </c>
      <c r="AY81" s="14">
        <v>45.427925283226521</v>
      </c>
      <c r="AZ81" s="14">
        <v>89.171219886163655</v>
      </c>
      <c r="BA81" s="14">
        <v>82.875261139350059</v>
      </c>
      <c r="BB81" s="14">
        <v>71.485534051216675</v>
      </c>
      <c r="BC81" s="14">
        <v>95.625232716407311</v>
      </c>
      <c r="BD81" s="14">
        <v>25.40447388456295</v>
      </c>
    </row>
    <row r="82" spans="1:56" x14ac:dyDescent="0.3">
      <c r="A82" s="19">
        <v>2015</v>
      </c>
      <c r="B82" s="8" t="s">
        <v>58</v>
      </c>
      <c r="C82" s="8" t="str">
        <f t="shared" si="4"/>
        <v>NV</v>
      </c>
      <c r="D82" s="8" t="str">
        <f t="shared" si="5"/>
        <v>内华达</v>
      </c>
      <c r="E82" s="15">
        <v>11.325495028858946</v>
      </c>
      <c r="F82" s="15">
        <v>69.406211724237963</v>
      </c>
      <c r="G82" s="15">
        <v>73.113258970252787</v>
      </c>
      <c r="H82" s="15">
        <v>29.793041353495088</v>
      </c>
      <c r="I82" s="15">
        <v>61.136759947896124</v>
      </c>
      <c r="J82" s="15">
        <v>56.867323054993868</v>
      </c>
      <c r="K82" s="15">
        <v>83.333756153873196</v>
      </c>
      <c r="L82" s="15">
        <v>25.121255423333711</v>
      </c>
      <c r="M82" s="15">
        <v>44.219885227327651</v>
      </c>
      <c r="N82" s="15">
        <v>55.987415742445947</v>
      </c>
      <c r="O82" s="15">
        <v>27.317512201547402</v>
      </c>
      <c r="P82" s="15">
        <v>50.461194280248655</v>
      </c>
      <c r="Q82" s="15">
        <v>86.502626324992747</v>
      </c>
      <c r="R82" s="15">
        <v>67.18893897170669</v>
      </c>
      <c r="S82" s="15">
        <v>30.283808032982961</v>
      </c>
      <c r="T82" s="15">
        <v>93.395876613133353</v>
      </c>
      <c r="U82" s="15">
        <v>54.704070420188785</v>
      </c>
      <c r="V82" s="15">
        <v>10.158008231107619</v>
      </c>
      <c r="W82" s="15">
        <v>18.21820472761987</v>
      </c>
      <c r="X82" s="15">
        <v>47.148871340301604</v>
      </c>
      <c r="Y82" s="15">
        <v>76.962882842598873</v>
      </c>
      <c r="Z82" s="15">
        <v>71.006196549567179</v>
      </c>
      <c r="AA82" s="15">
        <v>45.582798088927667</v>
      </c>
      <c r="AB82" s="15">
        <v>45.449224859800012</v>
      </c>
      <c r="AC82" s="15">
        <v>4.8566650786900372</v>
      </c>
      <c r="AD82" s="15">
        <v>97.862699425941415</v>
      </c>
      <c r="AE82" s="15">
        <v>38.666091804150518</v>
      </c>
      <c r="AF82" s="15">
        <v>11.840835767011615</v>
      </c>
      <c r="AG82" s="15">
        <v>22.497998819964383</v>
      </c>
      <c r="AH82" s="15">
        <v>14.668588834200957</v>
      </c>
      <c r="AI82" s="15">
        <v>93.147512489268635</v>
      </c>
      <c r="AJ82" s="15">
        <v>62.211443046014082</v>
      </c>
      <c r="AK82" s="15">
        <v>24.488684230408985</v>
      </c>
      <c r="AL82" s="15">
        <v>46.335809583989921</v>
      </c>
      <c r="AM82" s="15">
        <v>57.014333984006136</v>
      </c>
      <c r="AN82" s="15">
        <v>65.651107430496396</v>
      </c>
      <c r="AO82" s="15">
        <v>30.721689676380105</v>
      </c>
      <c r="AP82" s="15">
        <v>79.229203766992384</v>
      </c>
      <c r="AQ82" s="15">
        <v>88.611372242638325</v>
      </c>
      <c r="AR82" s="15">
        <v>88.648326941522072</v>
      </c>
      <c r="AS82" s="15">
        <v>92.03456471684423</v>
      </c>
      <c r="AT82" s="15">
        <v>66.574721104609736</v>
      </c>
      <c r="AU82" s="15">
        <v>94.453714255868576</v>
      </c>
      <c r="AV82" s="15">
        <v>54.33569804844177</v>
      </c>
      <c r="AW82" s="15">
        <v>67.356174083293766</v>
      </c>
      <c r="AX82" s="15">
        <v>82.601668588879832</v>
      </c>
      <c r="AY82" s="15">
        <v>28.081222615051015</v>
      </c>
      <c r="AZ82" s="15">
        <v>2.3811267068555741</v>
      </c>
      <c r="BA82" s="15">
        <v>30.789652306243699</v>
      </c>
      <c r="BB82" s="15">
        <v>11.438571997149705</v>
      </c>
      <c r="BC82" s="15">
        <v>49.597722088218902</v>
      </c>
      <c r="BD82" s="15">
        <v>70.407470393741704</v>
      </c>
    </row>
    <row r="83" spans="1:56" x14ac:dyDescent="0.3">
      <c r="A83" s="18">
        <v>2015</v>
      </c>
      <c r="B83" s="6" t="s">
        <v>60</v>
      </c>
      <c r="C83" s="6" t="str">
        <f t="shared" si="4"/>
        <v>NH</v>
      </c>
      <c r="D83" s="6" t="str">
        <f t="shared" si="5"/>
        <v>新汉普郡</v>
      </c>
      <c r="E83" s="14">
        <v>30.776493856627262</v>
      </c>
      <c r="F83" s="14">
        <v>14.575513232862969</v>
      </c>
      <c r="G83" s="14">
        <v>15.190936800039712</v>
      </c>
      <c r="H83" s="14">
        <v>17.074221039200555</v>
      </c>
      <c r="I83" s="14">
        <v>40.501649300764853</v>
      </c>
      <c r="J83" s="14">
        <v>99.879102640260015</v>
      </c>
      <c r="K83" s="14">
        <v>12.94483989458155</v>
      </c>
      <c r="L83" s="14">
        <v>70.173049433647364</v>
      </c>
      <c r="M83" s="14">
        <v>94.879223890780978</v>
      </c>
      <c r="N83" s="14">
        <v>69.182673938920615</v>
      </c>
      <c r="O83" s="14">
        <v>2.7980284560990665</v>
      </c>
      <c r="P83" s="14">
        <v>45.381212392826207</v>
      </c>
      <c r="Q83" s="14">
        <v>65.908966465353146</v>
      </c>
      <c r="R83" s="14">
        <v>81.438769026673157</v>
      </c>
      <c r="S83" s="14">
        <v>45.798111775779851</v>
      </c>
      <c r="T83" s="14">
        <v>28.831844614560829</v>
      </c>
      <c r="U83" s="14">
        <v>30.345203215581009</v>
      </c>
      <c r="V83" s="14">
        <v>84.842315460467162</v>
      </c>
      <c r="W83" s="14">
        <v>70.271724844266032</v>
      </c>
      <c r="X83" s="14">
        <v>91.198911772396571</v>
      </c>
      <c r="Y83" s="14">
        <v>49.085095472629646</v>
      </c>
      <c r="Z83" s="14">
        <v>13.789414298794544</v>
      </c>
      <c r="AA83" s="14">
        <v>77.598561915480417</v>
      </c>
      <c r="AB83" s="14">
        <v>73.613203652970199</v>
      </c>
      <c r="AC83" s="14">
        <v>63.320249449053243</v>
      </c>
      <c r="AD83" s="14">
        <v>68.034937784198377</v>
      </c>
      <c r="AE83" s="14">
        <v>12.022092424380237</v>
      </c>
      <c r="AF83" s="14">
        <v>19.530388593002534</v>
      </c>
      <c r="AG83" s="14">
        <v>56.998773407256742</v>
      </c>
      <c r="AH83" s="14">
        <v>10.020270181014634</v>
      </c>
      <c r="AI83" s="14">
        <v>1.4922110442025183</v>
      </c>
      <c r="AJ83" s="14">
        <v>60.749459965668137</v>
      </c>
      <c r="AK83" s="14">
        <v>26.116805136250289</v>
      </c>
      <c r="AL83" s="14">
        <v>79.161825332284181</v>
      </c>
      <c r="AM83" s="14">
        <v>14.588230189901275</v>
      </c>
      <c r="AN83" s="14">
        <v>46.219459481839699</v>
      </c>
      <c r="AO83" s="14">
        <v>91.790265795196788</v>
      </c>
      <c r="AP83" s="14">
        <v>65.416442521699352</v>
      </c>
      <c r="AQ83" s="14">
        <v>20.78555979052895</v>
      </c>
      <c r="AR83" s="14">
        <v>42.029780407345172</v>
      </c>
      <c r="AS83" s="14">
        <v>60.515826982717243</v>
      </c>
      <c r="AT83" s="14">
        <v>90.113732077301506</v>
      </c>
      <c r="AU83" s="14">
        <v>69.148611800552601</v>
      </c>
      <c r="AV83" s="14">
        <v>0.47544313911770386</v>
      </c>
      <c r="AW83" s="14">
        <v>59.151468104204952</v>
      </c>
      <c r="AX83" s="14">
        <v>57.756775943172741</v>
      </c>
      <c r="AY83" s="14">
        <v>65.969526800345108</v>
      </c>
      <c r="AZ83" s="14">
        <v>29.288269447325611</v>
      </c>
      <c r="BA83" s="14">
        <v>36.852950318717248</v>
      </c>
      <c r="BB83" s="14">
        <v>12.454504691207823</v>
      </c>
      <c r="BC83" s="14">
        <v>4.3317634015737072</v>
      </c>
      <c r="BD83" s="14">
        <v>60.263457284281465</v>
      </c>
    </row>
    <row r="84" spans="1:56" x14ac:dyDescent="0.3">
      <c r="A84" s="19">
        <v>2015</v>
      </c>
      <c r="B84" s="8" t="s">
        <v>62</v>
      </c>
      <c r="C84" s="8" t="str">
        <f t="shared" si="4"/>
        <v>NJ</v>
      </c>
      <c r="D84" s="8" t="str">
        <f t="shared" si="5"/>
        <v>新泽西</v>
      </c>
      <c r="E84" s="15">
        <v>80.602396059585033</v>
      </c>
      <c r="F84" s="15">
        <v>28.972998179947041</v>
      </c>
      <c r="G84" s="15">
        <v>68.256264096856384</v>
      </c>
      <c r="H84" s="15">
        <v>97.104050789293453</v>
      </c>
      <c r="I84" s="15">
        <v>65.683140454573035</v>
      </c>
      <c r="J84" s="15">
        <v>83.709996820076938</v>
      </c>
      <c r="K84" s="15">
        <v>6.4821444832549151</v>
      </c>
      <c r="L84" s="15">
        <v>53.625999165077218</v>
      </c>
      <c r="M84" s="15">
        <v>49.059976969356946</v>
      </c>
      <c r="N84" s="15">
        <v>10.211659596370104</v>
      </c>
      <c r="O84" s="15">
        <v>98.716760824397468</v>
      </c>
      <c r="P84" s="15">
        <v>65.500293618451323</v>
      </c>
      <c r="Q84" s="15">
        <v>95.877304595880346</v>
      </c>
      <c r="R84" s="15">
        <v>26.675713950065237</v>
      </c>
      <c r="S84" s="15">
        <v>7.6289836527832282</v>
      </c>
      <c r="T84" s="15">
        <v>62.655676379631188</v>
      </c>
      <c r="U84" s="15">
        <v>90.331099925361997</v>
      </c>
      <c r="V84" s="15">
        <v>44.337701605383948</v>
      </c>
      <c r="W84" s="15">
        <v>92.088460138359324</v>
      </c>
      <c r="X84" s="15">
        <v>77.971220723374685</v>
      </c>
      <c r="Y84" s="15">
        <v>78.364465294452785</v>
      </c>
      <c r="Z84" s="15">
        <v>47.182453864014498</v>
      </c>
      <c r="AA84" s="15">
        <v>71.857000590300473</v>
      </c>
      <c r="AB84" s="15">
        <v>41.06930920951438</v>
      </c>
      <c r="AC84" s="15">
        <v>93.043428198243532</v>
      </c>
      <c r="AD84" s="15">
        <v>15.903187832011811</v>
      </c>
      <c r="AE84" s="15">
        <v>27.400426665126453</v>
      </c>
      <c r="AF84" s="15">
        <v>49.021386797271873</v>
      </c>
      <c r="AG84" s="15">
        <v>51.815408235256754</v>
      </c>
      <c r="AH84" s="15">
        <v>77.171855395992637</v>
      </c>
      <c r="AI84" s="15">
        <v>6.1143123579460834</v>
      </c>
      <c r="AJ84" s="15">
        <v>86.903017976394395</v>
      </c>
      <c r="AK84" s="15">
        <v>35.893413771747632</v>
      </c>
      <c r="AL84" s="15">
        <v>81.218304417233327</v>
      </c>
      <c r="AM84" s="15">
        <v>76.47129391132529</v>
      </c>
      <c r="AN84" s="15">
        <v>15.128782538610741</v>
      </c>
      <c r="AO84" s="15">
        <v>80.456260153826449</v>
      </c>
      <c r="AP84" s="15">
        <v>80.346274862940035</v>
      </c>
      <c r="AQ84" s="15">
        <v>4.5459188604398681</v>
      </c>
      <c r="AR84" s="15">
        <v>23.716662624881536</v>
      </c>
      <c r="AS84" s="15">
        <v>8.8525794503135913</v>
      </c>
      <c r="AT84" s="15">
        <v>65.029876336418894</v>
      </c>
      <c r="AU84" s="15">
        <v>45.176278053665186</v>
      </c>
      <c r="AV84" s="15">
        <v>0.71812124229201357</v>
      </c>
      <c r="AW84" s="15">
        <v>66.755395305117531</v>
      </c>
      <c r="AX84" s="15">
        <v>46.466304249084558</v>
      </c>
      <c r="AY84" s="15">
        <v>46.881245891794642</v>
      </c>
      <c r="AZ84" s="15">
        <v>92.346701558401392</v>
      </c>
      <c r="BA84" s="15">
        <v>68.073616362274706</v>
      </c>
      <c r="BB84" s="15">
        <v>24.176126171867473</v>
      </c>
      <c r="BC84" s="15">
        <v>52.320376509025181</v>
      </c>
      <c r="BD84" s="15">
        <v>38.385958413994018</v>
      </c>
    </row>
    <row r="85" spans="1:56" x14ac:dyDescent="0.3">
      <c r="A85" s="18">
        <v>2015</v>
      </c>
      <c r="B85" s="6" t="s">
        <v>64</v>
      </c>
      <c r="C85" s="6" t="str">
        <f t="shared" si="4"/>
        <v>NM</v>
      </c>
      <c r="D85" s="6" t="str">
        <f t="shared" si="5"/>
        <v>新墨西哥</v>
      </c>
      <c r="E85" s="14">
        <v>43.639684185094751</v>
      </c>
      <c r="F85" s="14">
        <v>37.561036124210624</v>
      </c>
      <c r="G85" s="14">
        <v>43.580949017865599</v>
      </c>
      <c r="H85" s="14">
        <v>31.10611483236061</v>
      </c>
      <c r="I85" s="14">
        <v>25.24741386133703</v>
      </c>
      <c r="J85" s="14">
        <v>72.026389214612607</v>
      </c>
      <c r="K85" s="14">
        <v>49.664090536452775</v>
      </c>
      <c r="L85" s="14">
        <v>87.754169262595354</v>
      </c>
      <c r="M85" s="14">
        <v>47.918371160841154</v>
      </c>
      <c r="N85" s="14">
        <v>9.0038087271896661</v>
      </c>
      <c r="O85" s="14">
        <v>90.307320769938798</v>
      </c>
      <c r="P85" s="14">
        <v>85.712213212698046</v>
      </c>
      <c r="Q85" s="14">
        <v>31.041369813343433</v>
      </c>
      <c r="R85" s="14">
        <v>74.285356282419315</v>
      </c>
      <c r="S85" s="14">
        <v>64.708570322655305</v>
      </c>
      <c r="T85" s="14">
        <v>68.139438864210049</v>
      </c>
      <c r="U85" s="14">
        <v>46.150929140142559</v>
      </c>
      <c r="V85" s="14">
        <v>31.730187733932112</v>
      </c>
      <c r="W85" s="14">
        <v>60.917308342341528</v>
      </c>
      <c r="X85" s="14">
        <v>65.135265083907498</v>
      </c>
      <c r="Y85" s="14">
        <v>84.689286449706628</v>
      </c>
      <c r="Z85" s="14">
        <v>68.596083968397153</v>
      </c>
      <c r="AA85" s="14">
        <v>88.872873897857389</v>
      </c>
      <c r="AB85" s="14">
        <v>30.93232146495253</v>
      </c>
      <c r="AC85" s="14">
        <v>3.501167171500108</v>
      </c>
      <c r="AD85" s="14">
        <v>11.256956004065611</v>
      </c>
      <c r="AE85" s="14">
        <v>35.294252298232543</v>
      </c>
      <c r="AF85" s="14">
        <v>99.937294133582739</v>
      </c>
      <c r="AG85" s="14">
        <v>99.858858094250451</v>
      </c>
      <c r="AH85" s="14">
        <v>1.5380102315600941</v>
      </c>
      <c r="AI85" s="14">
        <v>72.62370964527581</v>
      </c>
      <c r="AJ85" s="14">
        <v>40.668630325255251</v>
      </c>
      <c r="AK85" s="14">
        <v>62.11947147269079</v>
      </c>
      <c r="AL85" s="14">
        <v>74.596856949538491</v>
      </c>
      <c r="AM85" s="14">
        <v>71.844918847907906</v>
      </c>
      <c r="AN85" s="14">
        <v>12.854393370708683</v>
      </c>
      <c r="AO85" s="14">
        <v>55.413568447779873</v>
      </c>
      <c r="AP85" s="14">
        <v>25.563406436259349</v>
      </c>
      <c r="AQ85" s="14">
        <v>5.5942119680933651</v>
      </c>
      <c r="AR85" s="14">
        <v>26.379596205354318</v>
      </c>
      <c r="AS85" s="14">
        <v>73.367831454075855</v>
      </c>
      <c r="AT85" s="14">
        <v>14.742425391562575</v>
      </c>
      <c r="AU85" s="14">
        <v>67.977478760885774</v>
      </c>
      <c r="AV85" s="14">
        <v>14.55424212966161</v>
      </c>
      <c r="AW85" s="14">
        <v>86.22772352686134</v>
      </c>
      <c r="AX85" s="14">
        <v>19.610279939918239</v>
      </c>
      <c r="AY85" s="14">
        <v>70.053061526829126</v>
      </c>
      <c r="AZ85" s="14">
        <v>36.025881602820455</v>
      </c>
      <c r="BA85" s="14">
        <v>99.70522040789605</v>
      </c>
      <c r="BB85" s="14">
        <v>93.18183053003844</v>
      </c>
      <c r="BC85" s="14">
        <v>41.751176140702128</v>
      </c>
      <c r="BD85" s="14">
        <v>40.931220650207869</v>
      </c>
    </row>
    <row r="86" spans="1:56" x14ac:dyDescent="0.3">
      <c r="A86" s="19">
        <v>2015</v>
      </c>
      <c r="B86" s="8" t="s">
        <v>66</v>
      </c>
      <c r="C86" s="8" t="str">
        <f t="shared" si="4"/>
        <v>NY</v>
      </c>
      <c r="D86" s="8" t="str">
        <f t="shared" si="5"/>
        <v>纽约</v>
      </c>
      <c r="E86" s="15">
        <v>55.884826399400225</v>
      </c>
      <c r="F86" s="15">
        <v>85.603265807695749</v>
      </c>
      <c r="G86" s="15">
        <v>41.907068331170514</v>
      </c>
      <c r="H86" s="15">
        <v>90.302898515978328</v>
      </c>
      <c r="I86" s="15">
        <v>84.404116125798112</v>
      </c>
      <c r="J86" s="15">
        <v>85.469951488558465</v>
      </c>
      <c r="K86" s="15">
        <v>3.8272201533133376</v>
      </c>
      <c r="L86" s="15">
        <v>8.4110292401828204</v>
      </c>
      <c r="M86" s="15">
        <v>48.667009875880062</v>
      </c>
      <c r="N86" s="15">
        <v>84.363785205026261</v>
      </c>
      <c r="O86" s="15">
        <v>40.898146484804151</v>
      </c>
      <c r="P86" s="15">
        <v>50.541913197371159</v>
      </c>
      <c r="Q86" s="15">
        <v>2.463099977202643</v>
      </c>
      <c r="R86" s="15">
        <v>63.345608441083066</v>
      </c>
      <c r="S86" s="15">
        <v>91.092218099144603</v>
      </c>
      <c r="T86" s="15">
        <v>91.161694991484197</v>
      </c>
      <c r="U86" s="15">
        <v>53.707589573553363</v>
      </c>
      <c r="V86" s="15">
        <v>11.962296016893747</v>
      </c>
      <c r="W86" s="15">
        <v>49.649325390588082</v>
      </c>
      <c r="X86" s="15">
        <v>68.750798701077301</v>
      </c>
      <c r="Y86" s="15">
        <v>10.177570368404387</v>
      </c>
      <c r="Z86" s="15">
        <v>35.049794318858844</v>
      </c>
      <c r="AA86" s="15">
        <v>16.070802237954929</v>
      </c>
      <c r="AB86" s="15">
        <v>53.877732207156882</v>
      </c>
      <c r="AC86" s="15">
        <v>9.7837967361698031</v>
      </c>
      <c r="AD86" s="15">
        <v>48.765226601954893</v>
      </c>
      <c r="AE86" s="15">
        <v>34.85944355558145</v>
      </c>
      <c r="AF86" s="15">
        <v>51.790768415647563</v>
      </c>
      <c r="AG86" s="15">
        <v>35.165245067695409</v>
      </c>
      <c r="AH86" s="15">
        <v>61.954300564203315</v>
      </c>
      <c r="AI86" s="15">
        <v>16.939804663988657</v>
      </c>
      <c r="AJ86" s="15">
        <v>28.274850435801135</v>
      </c>
      <c r="AK86" s="15">
        <v>63.028924675929233</v>
      </c>
      <c r="AL86" s="15">
        <v>3.803723819095306</v>
      </c>
      <c r="AM86" s="15">
        <v>69.291178624939718</v>
      </c>
      <c r="AN86" s="15">
        <v>14.130251678797045</v>
      </c>
      <c r="AO86" s="15">
        <v>72.299117977970567</v>
      </c>
      <c r="AP86" s="15">
        <v>48.828037633104429</v>
      </c>
      <c r="AQ86" s="15">
        <v>16.944034778017247</v>
      </c>
      <c r="AR86" s="15">
        <v>18.520926939559846</v>
      </c>
      <c r="AS86" s="15">
        <v>31.746481168710673</v>
      </c>
      <c r="AT86" s="15">
        <v>51.98967741178452</v>
      </c>
      <c r="AU86" s="15">
        <v>81.189149697764961</v>
      </c>
      <c r="AV86" s="15">
        <v>74.430364044531032</v>
      </c>
      <c r="AW86" s="15">
        <v>32.659183401149292</v>
      </c>
      <c r="AX86" s="15">
        <v>7.5114583456193156</v>
      </c>
      <c r="AY86" s="15">
        <v>85.99168888528655</v>
      </c>
      <c r="AZ86" s="15">
        <v>75.526431334587159</v>
      </c>
      <c r="BA86" s="15">
        <v>20.629527954792238</v>
      </c>
      <c r="BB86" s="15">
        <v>33.752826246315607</v>
      </c>
      <c r="BC86" s="15">
        <v>25.389110708421125</v>
      </c>
      <c r="BD86" s="15">
        <v>46.142259375031855</v>
      </c>
    </row>
    <row r="87" spans="1:56" x14ac:dyDescent="0.3">
      <c r="A87" s="18">
        <v>2015</v>
      </c>
      <c r="B87" s="6" t="s">
        <v>68</v>
      </c>
      <c r="C87" s="6" t="str">
        <f t="shared" si="4"/>
        <v>NC</v>
      </c>
      <c r="D87" s="6" t="str">
        <f t="shared" si="5"/>
        <v>北卡罗莱纳</v>
      </c>
      <c r="E87" s="14">
        <v>78.044923121766558</v>
      </c>
      <c r="F87" s="14">
        <v>35.755561824288243</v>
      </c>
      <c r="G87" s="14">
        <v>44.859588591271205</v>
      </c>
      <c r="H87" s="14">
        <v>75.65295789916803</v>
      </c>
      <c r="I87" s="14">
        <v>26.231915104722159</v>
      </c>
      <c r="J87" s="14">
        <v>79.010158419279264</v>
      </c>
      <c r="K87" s="14">
        <v>43.099708209906915</v>
      </c>
      <c r="L87" s="14">
        <v>83.280210242058288</v>
      </c>
      <c r="M87" s="14">
        <v>9.9538573800189702</v>
      </c>
      <c r="N87" s="14">
        <v>18.510283201863952</v>
      </c>
      <c r="O87" s="14">
        <v>2.5449784599331449</v>
      </c>
      <c r="P87" s="14">
        <v>24.003234725921409</v>
      </c>
      <c r="Q87" s="14">
        <v>77.160150946612262</v>
      </c>
      <c r="R87" s="14">
        <v>88.699812469571043</v>
      </c>
      <c r="S87" s="14">
        <v>76.832732946470614</v>
      </c>
      <c r="T87" s="14">
        <v>20.084448840235602</v>
      </c>
      <c r="U87" s="14">
        <v>26.0094252860555</v>
      </c>
      <c r="V87" s="14">
        <v>12.376392077417886</v>
      </c>
      <c r="W87" s="14">
        <v>35.524877382920813</v>
      </c>
      <c r="X87" s="14">
        <v>93.521948786392699</v>
      </c>
      <c r="Y87" s="14">
        <v>4.4876456149929851</v>
      </c>
      <c r="Z87" s="14">
        <v>58.55132573213875</v>
      </c>
      <c r="AA87" s="14">
        <v>26.889560925043032</v>
      </c>
      <c r="AB87" s="14">
        <v>41.963549358685015</v>
      </c>
      <c r="AC87" s="14">
        <v>11.099604403165097</v>
      </c>
      <c r="AD87" s="14">
        <v>33.178074478521225</v>
      </c>
      <c r="AE87" s="14">
        <v>58.154336565162957</v>
      </c>
      <c r="AF87" s="14">
        <v>53.044059012304146</v>
      </c>
      <c r="AG87" s="14">
        <v>39.487420345968808</v>
      </c>
      <c r="AH87" s="14">
        <v>37.256013626257378</v>
      </c>
      <c r="AI87" s="14">
        <v>49.872232774744496</v>
      </c>
      <c r="AJ87" s="14">
        <v>89.577814371250113</v>
      </c>
      <c r="AK87" s="14">
        <v>85.298259976386049</v>
      </c>
      <c r="AL87" s="14">
        <v>68.68996278204223</v>
      </c>
      <c r="AM87" s="14">
        <v>74.474235809883211</v>
      </c>
      <c r="AN87" s="14">
        <v>37.268272306742155</v>
      </c>
      <c r="AO87" s="14">
        <v>51.880887316522376</v>
      </c>
      <c r="AP87" s="14">
        <v>18.572171911026778</v>
      </c>
      <c r="AQ87" s="14">
        <v>59.171819712048112</v>
      </c>
      <c r="AR87" s="14">
        <v>26.316519959850325</v>
      </c>
      <c r="AS87" s="14">
        <v>36.986207474418499</v>
      </c>
      <c r="AT87" s="14">
        <v>66.193044266573182</v>
      </c>
      <c r="AU87" s="14">
        <v>67.574439524631117</v>
      </c>
      <c r="AV87" s="14">
        <v>40.196568095550347</v>
      </c>
      <c r="AW87" s="14">
        <v>92.302414697789217</v>
      </c>
      <c r="AX87" s="14">
        <v>56.801316772928921</v>
      </c>
      <c r="AY87" s="14">
        <v>15.636752293394029</v>
      </c>
      <c r="AZ87" s="14">
        <v>4.6313087983421379</v>
      </c>
      <c r="BA87" s="14">
        <v>0.52739760063008623</v>
      </c>
      <c r="BB87" s="14">
        <v>27.708884071108553</v>
      </c>
      <c r="BC87" s="14">
        <v>99.311552944098494</v>
      </c>
      <c r="BD87" s="14">
        <v>43.130024161842208</v>
      </c>
    </row>
    <row r="88" spans="1:56" x14ac:dyDescent="0.3">
      <c r="A88" s="19">
        <v>2015</v>
      </c>
      <c r="B88" s="8" t="s">
        <v>70</v>
      </c>
      <c r="C88" s="8" t="str">
        <f t="shared" si="4"/>
        <v>ND</v>
      </c>
      <c r="D88" s="8" t="str">
        <f t="shared" si="5"/>
        <v>北达科他</v>
      </c>
      <c r="E88" s="15">
        <v>0.86837498805574231</v>
      </c>
      <c r="F88" s="15">
        <v>77.692799685709417</v>
      </c>
      <c r="G88" s="15">
        <v>98.514323872096483</v>
      </c>
      <c r="H88" s="15">
        <v>49.791026108340944</v>
      </c>
      <c r="I88" s="15">
        <v>78.687484760662386</v>
      </c>
      <c r="J88" s="15">
        <v>27.701144838766425</v>
      </c>
      <c r="K88" s="15">
        <v>25.19741235500511</v>
      </c>
      <c r="L88" s="15">
        <v>99.855171468837014</v>
      </c>
      <c r="M88" s="15">
        <v>3.0503631718194146</v>
      </c>
      <c r="N88" s="15">
        <v>38.334955750681345</v>
      </c>
      <c r="O88" s="15">
        <v>52.002336449618191</v>
      </c>
      <c r="P88" s="15">
        <v>66.139386409826102</v>
      </c>
      <c r="Q88" s="15">
        <v>53.374521650331467</v>
      </c>
      <c r="R88" s="15">
        <v>51.055933786887309</v>
      </c>
      <c r="S88" s="15">
        <v>13.863399138543608</v>
      </c>
      <c r="T88" s="15">
        <v>84.687247569962452</v>
      </c>
      <c r="U88" s="15">
        <v>7.2123172092144694</v>
      </c>
      <c r="V88" s="15">
        <v>19.363944949733625</v>
      </c>
      <c r="W88" s="15">
        <v>89.410670357427335</v>
      </c>
      <c r="X88" s="15">
        <v>12.309271790312481</v>
      </c>
      <c r="Y88" s="15">
        <v>79.807814937412473</v>
      </c>
      <c r="Z88" s="15">
        <v>9.9729744752057865</v>
      </c>
      <c r="AA88" s="15">
        <v>77.251192688269469</v>
      </c>
      <c r="AB88" s="15">
        <v>5.8506563055934269</v>
      </c>
      <c r="AC88" s="15">
        <v>93.489436329670909</v>
      </c>
      <c r="AD88" s="15">
        <v>68.014300069460873</v>
      </c>
      <c r="AE88" s="15">
        <v>31.799149534895633</v>
      </c>
      <c r="AF88" s="15">
        <v>53.829940891084682</v>
      </c>
      <c r="AG88" s="15">
        <v>91.487669933290306</v>
      </c>
      <c r="AH88" s="15">
        <v>95.916619582644714</v>
      </c>
      <c r="AI88" s="15">
        <v>86.236011539693564</v>
      </c>
      <c r="AJ88" s="15">
        <v>74.56001907296293</v>
      </c>
      <c r="AK88" s="15">
        <v>43.019074439602164</v>
      </c>
      <c r="AL88" s="15">
        <v>5.7430900559858333</v>
      </c>
      <c r="AM88" s="15">
        <v>29.459192466629936</v>
      </c>
      <c r="AN88" s="15">
        <v>33.914712466325483</v>
      </c>
      <c r="AO88" s="15">
        <v>3.977266369192678</v>
      </c>
      <c r="AP88" s="15">
        <v>50.749781930039461</v>
      </c>
      <c r="AQ88" s="15">
        <v>65.95980171091432</v>
      </c>
      <c r="AR88" s="15">
        <v>40.564344123083615</v>
      </c>
      <c r="AS88" s="15">
        <v>10.983437717353272</v>
      </c>
      <c r="AT88" s="15">
        <v>92.040330786271369</v>
      </c>
      <c r="AU88" s="15">
        <v>0.72953409867544394</v>
      </c>
      <c r="AV88" s="15">
        <v>71.157492106022374</v>
      </c>
      <c r="AW88" s="15">
        <v>6.3053287648135781</v>
      </c>
      <c r="AX88" s="15">
        <v>72.246138415378084</v>
      </c>
      <c r="AY88" s="15">
        <v>68.852706864666914</v>
      </c>
      <c r="AZ88" s="15">
        <v>65.059430270848381</v>
      </c>
      <c r="BA88" s="15">
        <v>78.230194280331673</v>
      </c>
      <c r="BB88" s="15">
        <v>90.293444634745029</v>
      </c>
      <c r="BC88" s="15">
        <v>78.13270431591242</v>
      </c>
      <c r="BD88" s="15">
        <v>24.858796709722807</v>
      </c>
    </row>
    <row r="89" spans="1:56" x14ac:dyDescent="0.3">
      <c r="A89" s="18">
        <v>2015</v>
      </c>
      <c r="B89" s="6" t="s">
        <v>72</v>
      </c>
      <c r="C89" s="6" t="str">
        <f t="shared" si="4"/>
        <v>OH</v>
      </c>
      <c r="D89" s="6" t="str">
        <f t="shared" si="5"/>
        <v>俄亥俄州</v>
      </c>
      <c r="E89" s="14">
        <v>31.377873820448386</v>
      </c>
      <c r="F89" s="14">
        <v>68.805381335773404</v>
      </c>
      <c r="G89" s="14">
        <v>57.25694643434548</v>
      </c>
      <c r="H89" s="14">
        <v>72.899915588236681</v>
      </c>
      <c r="I89" s="14">
        <v>1.7422548828038065</v>
      </c>
      <c r="J89" s="14">
        <v>3.0502151621715434</v>
      </c>
      <c r="K89" s="14">
        <v>23.660219482130319</v>
      </c>
      <c r="L89" s="14">
        <v>53.440753796513071</v>
      </c>
      <c r="M89" s="14">
        <v>50.767952833719278</v>
      </c>
      <c r="N89" s="14">
        <v>36.190091486782507</v>
      </c>
      <c r="O89" s="14">
        <v>34.996644049148649</v>
      </c>
      <c r="P89" s="14">
        <v>61.825551599134201</v>
      </c>
      <c r="Q89" s="14">
        <v>9.6099947889718642</v>
      </c>
      <c r="R89" s="14">
        <v>97.401382529787497</v>
      </c>
      <c r="S89" s="14">
        <v>48.794152432263694</v>
      </c>
      <c r="T89" s="14">
        <v>15.427204468354594</v>
      </c>
      <c r="U89" s="14">
        <v>5.7567734422264261</v>
      </c>
      <c r="V89" s="14">
        <v>32.285991278249384</v>
      </c>
      <c r="W89" s="14">
        <v>87.924718897236701</v>
      </c>
      <c r="X89" s="14">
        <v>5.1780114105856594</v>
      </c>
      <c r="Y89" s="14">
        <v>31.88783597498994</v>
      </c>
      <c r="Z89" s="14">
        <v>11.46490666296649</v>
      </c>
      <c r="AA89" s="14">
        <v>67.577054828623147</v>
      </c>
      <c r="AB89" s="14">
        <v>29.106597621164077</v>
      </c>
      <c r="AC89" s="14">
        <v>13.951899437760741</v>
      </c>
      <c r="AD89" s="14">
        <v>41.475952194273503</v>
      </c>
      <c r="AE89" s="14">
        <v>17.787288755344342</v>
      </c>
      <c r="AF89" s="14">
        <v>18.076916051589155</v>
      </c>
      <c r="AG89" s="14">
        <v>25.432424903180273</v>
      </c>
      <c r="AH89" s="14">
        <v>63.811600379989606</v>
      </c>
      <c r="AI89" s="14">
        <v>18.116266246302082</v>
      </c>
      <c r="AJ89" s="14">
        <v>37.390129176788854</v>
      </c>
      <c r="AK89" s="14">
        <v>37.587791358596277</v>
      </c>
      <c r="AL89" s="14">
        <v>51.670632934449877</v>
      </c>
      <c r="AM89" s="14">
        <v>80.163961244536921</v>
      </c>
      <c r="AN89" s="14">
        <v>44.54264097028048</v>
      </c>
      <c r="AO89" s="14">
        <v>35.44171282117432</v>
      </c>
      <c r="AP89" s="14">
        <v>13.479629796153169</v>
      </c>
      <c r="AQ89" s="14">
        <v>60.490390150579188</v>
      </c>
      <c r="AR89" s="14">
        <v>41.935329827156878</v>
      </c>
      <c r="AS89" s="14">
        <v>87.543157151335507</v>
      </c>
      <c r="AT89" s="14">
        <v>23.495891895936204</v>
      </c>
      <c r="AU89" s="14">
        <v>2.8010872483661853</v>
      </c>
      <c r="AV89" s="14">
        <v>92.661829867147077</v>
      </c>
      <c r="AW89" s="14">
        <v>31.806940414962035</v>
      </c>
      <c r="AX89" s="14">
        <v>34.26781381435562</v>
      </c>
      <c r="AY89" s="14">
        <v>87.440456315875622</v>
      </c>
      <c r="AZ89" s="14">
        <v>98.410984694158685</v>
      </c>
      <c r="BA89" s="14">
        <v>12.429406753476524</v>
      </c>
      <c r="BB89" s="14">
        <v>77.093294429449173</v>
      </c>
      <c r="BC89" s="14">
        <v>58.574363204939687</v>
      </c>
      <c r="BD89" s="14">
        <v>88.434843522703673</v>
      </c>
    </row>
    <row r="90" spans="1:56" x14ac:dyDescent="0.3">
      <c r="A90" s="19">
        <v>2015</v>
      </c>
      <c r="B90" s="8" t="s">
        <v>74</v>
      </c>
      <c r="C90" s="8" t="str">
        <f t="shared" si="4"/>
        <v>OK</v>
      </c>
      <c r="D90" s="8" t="str">
        <f t="shared" si="5"/>
        <v>俄克拉何马州</v>
      </c>
      <c r="E90" s="15">
        <v>15.227962016202978</v>
      </c>
      <c r="F90" s="15">
        <v>76.153104868868311</v>
      </c>
      <c r="G90" s="15">
        <v>46.015396848549216</v>
      </c>
      <c r="H90" s="15">
        <v>1.9961138459453909</v>
      </c>
      <c r="I90" s="15">
        <v>43.304350010985274</v>
      </c>
      <c r="J90" s="15">
        <v>83.485748483541784</v>
      </c>
      <c r="K90" s="15">
        <v>11.252053971135901</v>
      </c>
      <c r="L90" s="15">
        <v>19.31914753209918</v>
      </c>
      <c r="M90" s="15">
        <v>32.442605724624173</v>
      </c>
      <c r="N90" s="15">
        <v>7.1405381734905182</v>
      </c>
      <c r="O90" s="15">
        <v>74.077341925517729</v>
      </c>
      <c r="P90" s="15">
        <v>88.13505343965582</v>
      </c>
      <c r="Q90" s="15">
        <v>86.329030356030827</v>
      </c>
      <c r="R90" s="15">
        <v>71.498950112690494</v>
      </c>
      <c r="S90" s="15">
        <v>63.785324461945159</v>
      </c>
      <c r="T90" s="15">
        <v>24.478269692355603</v>
      </c>
      <c r="U90" s="15">
        <v>76.949083095217915</v>
      </c>
      <c r="V90" s="15">
        <v>36.356651400440654</v>
      </c>
      <c r="W90" s="15">
        <v>66.059029299506108</v>
      </c>
      <c r="X90" s="15">
        <v>80.126787276597028</v>
      </c>
      <c r="Y90" s="15">
        <v>28.676072335420976</v>
      </c>
      <c r="Z90" s="15">
        <v>73.135314757218012</v>
      </c>
      <c r="AA90" s="15">
        <v>60.552474199295425</v>
      </c>
      <c r="AB90" s="15">
        <v>39.342757001948399</v>
      </c>
      <c r="AC90" s="15">
        <v>68.163672555771399</v>
      </c>
      <c r="AD90" s="15">
        <v>74.564853202236321</v>
      </c>
      <c r="AE90" s="15">
        <v>32.854235376003224</v>
      </c>
      <c r="AF90" s="15">
        <v>59.917098745890016</v>
      </c>
      <c r="AG90" s="15">
        <v>46.847443382141265</v>
      </c>
      <c r="AH90" s="15">
        <v>36.44366966035971</v>
      </c>
      <c r="AI90" s="15">
        <v>60.675461968074138</v>
      </c>
      <c r="AJ90" s="15">
        <v>12.51512911585082</v>
      </c>
      <c r="AK90" s="15">
        <v>37.567667293533965</v>
      </c>
      <c r="AL90" s="15">
        <v>66.457692294735054</v>
      </c>
      <c r="AM90" s="15">
        <v>97.740722042649026</v>
      </c>
      <c r="AN90" s="15">
        <v>53.02742022534224</v>
      </c>
      <c r="AO90" s="15">
        <v>74.818166399657741</v>
      </c>
      <c r="AP90" s="15">
        <v>58.445985028553039</v>
      </c>
      <c r="AQ90" s="15">
        <v>22.595310536156475</v>
      </c>
      <c r="AR90" s="15">
        <v>12.163515983093387</v>
      </c>
      <c r="AS90" s="15">
        <v>77.256962060524032</v>
      </c>
      <c r="AT90" s="15">
        <v>31.520275474903205</v>
      </c>
      <c r="AU90" s="15">
        <v>53.369480614041443</v>
      </c>
      <c r="AV90" s="15">
        <v>74.191901584812186</v>
      </c>
      <c r="AW90" s="15">
        <v>38.216762992041154</v>
      </c>
      <c r="AX90" s="15">
        <v>31.390598735557241</v>
      </c>
      <c r="AY90" s="15">
        <v>51.730019036926947</v>
      </c>
      <c r="AZ90" s="15">
        <v>15.950462307592838</v>
      </c>
      <c r="BA90" s="15">
        <v>18.141814209654918</v>
      </c>
      <c r="BB90" s="15">
        <v>75.375027497334685</v>
      </c>
      <c r="BC90" s="15">
        <v>59.639055771133101</v>
      </c>
      <c r="BD90" s="15">
        <v>66.849809497484515</v>
      </c>
    </row>
    <row r="91" spans="1:56" x14ac:dyDescent="0.3">
      <c r="A91" s="18">
        <v>2015</v>
      </c>
      <c r="B91" s="6" t="s">
        <v>76</v>
      </c>
      <c r="C91" s="6" t="str">
        <f t="shared" si="4"/>
        <v>OR</v>
      </c>
      <c r="D91" s="6" t="str">
        <f t="shared" si="5"/>
        <v>俄勒冈州</v>
      </c>
      <c r="E91" s="14">
        <v>21.349708251314748</v>
      </c>
      <c r="F91" s="14">
        <v>35.801291887326549</v>
      </c>
      <c r="G91" s="14">
        <v>89.509561259032637</v>
      </c>
      <c r="H91" s="14">
        <v>79.200711839173962</v>
      </c>
      <c r="I91" s="14">
        <v>41.822288993756644</v>
      </c>
      <c r="J91" s="14">
        <v>60.480906413693511</v>
      </c>
      <c r="K91" s="14">
        <v>37.327046470212544</v>
      </c>
      <c r="L91" s="14">
        <v>78.208162662135507</v>
      </c>
      <c r="M91" s="14">
        <v>6.6853325413187665</v>
      </c>
      <c r="N91" s="14">
        <v>32.052411649716475</v>
      </c>
      <c r="O91" s="14">
        <v>1.2266734634250986</v>
      </c>
      <c r="P91" s="14">
        <v>60.583175844129499</v>
      </c>
      <c r="Q91" s="14">
        <v>6.4538874163621589</v>
      </c>
      <c r="R91" s="14">
        <v>3.0610816047082379</v>
      </c>
      <c r="S91" s="14">
        <v>84.979082421826391</v>
      </c>
      <c r="T91" s="14">
        <v>43.964981282314653</v>
      </c>
      <c r="U91" s="14">
        <v>82.192718771040603</v>
      </c>
      <c r="V91" s="14">
        <v>46.465755486058114</v>
      </c>
      <c r="W91" s="14">
        <v>58.148162673837192</v>
      </c>
      <c r="X91" s="14">
        <v>8.0385309856219394</v>
      </c>
      <c r="Y91" s="14">
        <v>62.660713245992547</v>
      </c>
      <c r="Z91" s="14">
        <v>90.394386699213499</v>
      </c>
      <c r="AA91" s="14">
        <v>23.835126655058946</v>
      </c>
      <c r="AB91" s="14">
        <v>22.062946142834338</v>
      </c>
      <c r="AC91" s="14">
        <v>17.200191541738931</v>
      </c>
      <c r="AD91" s="14">
        <v>42.954121468013128</v>
      </c>
      <c r="AE91" s="14">
        <v>47.545303004215036</v>
      </c>
      <c r="AF91" s="14">
        <v>83.761979641067825</v>
      </c>
      <c r="AG91" s="14">
        <v>27.012447016314887</v>
      </c>
      <c r="AH91" s="14">
        <v>41.412463656415866</v>
      </c>
      <c r="AI91" s="14">
        <v>96.95562128735817</v>
      </c>
      <c r="AJ91" s="14">
        <v>44.185376937276835</v>
      </c>
      <c r="AK91" s="14">
        <v>44.29759319134623</v>
      </c>
      <c r="AL91" s="14">
        <v>41.51782144557675</v>
      </c>
      <c r="AM91" s="14">
        <v>72.947493797646729</v>
      </c>
      <c r="AN91" s="14">
        <v>50.731770052824878</v>
      </c>
      <c r="AO91" s="14">
        <v>44.089689124304876</v>
      </c>
      <c r="AP91" s="14">
        <v>71.930312981302862</v>
      </c>
      <c r="AQ91" s="14">
        <v>89.003237183846551</v>
      </c>
      <c r="AR91" s="14">
        <v>57.356401476183649</v>
      </c>
      <c r="AS91" s="14">
        <v>69.588170612775912</v>
      </c>
      <c r="AT91" s="14">
        <v>80.124116166118895</v>
      </c>
      <c r="AU91" s="14">
        <v>67.897645363900011</v>
      </c>
      <c r="AV91" s="14">
        <v>37.380581910923013</v>
      </c>
      <c r="AW91" s="14">
        <v>47.209273545318688</v>
      </c>
      <c r="AX91" s="14">
        <v>58.301964426580021</v>
      </c>
      <c r="AY91" s="14">
        <v>47.561434180857844</v>
      </c>
      <c r="AZ91" s="14">
        <v>73.339831347495334</v>
      </c>
      <c r="BA91" s="14">
        <v>72.64324197053223</v>
      </c>
      <c r="BB91" s="14">
        <v>45.557720789750853</v>
      </c>
      <c r="BC91" s="14">
        <v>15.287208514110917</v>
      </c>
      <c r="BD91" s="14">
        <v>47.892348670986337</v>
      </c>
    </row>
    <row r="92" spans="1:56" x14ac:dyDescent="0.3">
      <c r="A92" s="19">
        <v>2015</v>
      </c>
      <c r="B92" s="8" t="s">
        <v>78</v>
      </c>
      <c r="C92" s="8" t="str">
        <f t="shared" si="4"/>
        <v>PA</v>
      </c>
      <c r="D92" s="8" t="str">
        <f t="shared" si="5"/>
        <v>宾西法尼亚</v>
      </c>
      <c r="E92" s="15">
        <v>72.028299999581094</v>
      </c>
      <c r="F92" s="15">
        <v>68.814642611120874</v>
      </c>
      <c r="G92" s="15">
        <v>29.75161277355679</v>
      </c>
      <c r="H92" s="15">
        <v>48.616386430517032</v>
      </c>
      <c r="I92" s="15">
        <v>66.978802899798296</v>
      </c>
      <c r="J92" s="15">
        <v>7.6773461345458376</v>
      </c>
      <c r="K92" s="15">
        <v>70.835874023524553</v>
      </c>
      <c r="L92" s="15">
        <v>92.920160104946376</v>
      </c>
      <c r="M92" s="15">
        <v>46.80806754681236</v>
      </c>
      <c r="N92" s="15">
        <v>94.424679797626979</v>
      </c>
      <c r="O92" s="15">
        <v>9.3619185988840563</v>
      </c>
      <c r="P92" s="15">
        <v>78.908875202546852</v>
      </c>
      <c r="Q92" s="15">
        <v>34.874593039831559</v>
      </c>
      <c r="R92" s="15">
        <v>91.617150188234604</v>
      </c>
      <c r="S92" s="15">
        <v>67.04621107283603</v>
      </c>
      <c r="T92" s="15">
        <v>86.611973670917308</v>
      </c>
      <c r="U92" s="15">
        <v>3.1754578711951087E-2</v>
      </c>
      <c r="V92" s="15">
        <v>63.137882845710081</v>
      </c>
      <c r="W92" s="15">
        <v>56.573181756081802</v>
      </c>
      <c r="X92" s="15">
        <v>6.3028966843173713</v>
      </c>
      <c r="Y92" s="15">
        <v>62.205533790389453</v>
      </c>
      <c r="Z92" s="15">
        <v>97.793814168318548</v>
      </c>
      <c r="AA92" s="15">
        <v>1.0231356089506094</v>
      </c>
      <c r="AB92" s="15">
        <v>46.761723270365927</v>
      </c>
      <c r="AC92" s="15">
        <v>67.546789768840227</v>
      </c>
      <c r="AD92" s="15">
        <v>59.664940052016156</v>
      </c>
      <c r="AE92" s="15">
        <v>54.657314842336916</v>
      </c>
      <c r="AF92" s="15">
        <v>20.724897551437639</v>
      </c>
      <c r="AG92" s="15">
        <v>73.045529200256667</v>
      </c>
      <c r="AH92" s="15">
        <v>65.038434151676469</v>
      </c>
      <c r="AI92" s="15">
        <v>80.646883923928115</v>
      </c>
      <c r="AJ92" s="15">
        <v>26.313003644169619</v>
      </c>
      <c r="AK92" s="15">
        <v>83.544527949666843</v>
      </c>
      <c r="AL92" s="15">
        <v>78.195269526983196</v>
      </c>
      <c r="AM92" s="15">
        <v>80.919799596250101</v>
      </c>
      <c r="AN92" s="15">
        <v>27.225720078471671</v>
      </c>
      <c r="AO92" s="15">
        <v>61.635839573546278</v>
      </c>
      <c r="AP92" s="15">
        <v>57.457811373998332</v>
      </c>
      <c r="AQ92" s="15">
        <v>97.074718816788902</v>
      </c>
      <c r="AR92" s="15">
        <v>6.7415839759375924</v>
      </c>
      <c r="AS92" s="15">
        <v>29.592076428487669</v>
      </c>
      <c r="AT92" s="15">
        <v>85.094421229967068</v>
      </c>
      <c r="AU92" s="15">
        <v>33.828975815507533</v>
      </c>
      <c r="AV92" s="15">
        <v>41.623048377704841</v>
      </c>
      <c r="AW92" s="15">
        <v>63.944247037534161</v>
      </c>
      <c r="AX92" s="15">
        <v>94.029327625235709</v>
      </c>
      <c r="AY92" s="15">
        <v>38.011856248377498</v>
      </c>
      <c r="AZ92" s="15">
        <v>48.514270936031032</v>
      </c>
      <c r="BA92" s="15">
        <v>37.773479787572526</v>
      </c>
      <c r="BB92" s="15">
        <v>1.5096606700506499</v>
      </c>
      <c r="BC92" s="15">
        <v>45.243407289140421</v>
      </c>
      <c r="BD92" s="15">
        <v>27.424715298638493</v>
      </c>
    </row>
    <row r="93" spans="1:56" x14ac:dyDescent="0.3">
      <c r="A93" s="18">
        <v>2015</v>
      </c>
      <c r="B93" s="6" t="s">
        <v>82</v>
      </c>
      <c r="C93" s="6" t="str">
        <f t="shared" si="4"/>
        <v>RI</v>
      </c>
      <c r="D93" s="6" t="str">
        <f t="shared" si="5"/>
        <v>罗德岛州</v>
      </c>
      <c r="E93" s="14">
        <v>51.764536000539209</v>
      </c>
      <c r="F93" s="14">
        <v>99.596555351964895</v>
      </c>
      <c r="G93" s="14">
        <v>40.958749442359242</v>
      </c>
      <c r="H93" s="14">
        <v>68.844378841039457</v>
      </c>
      <c r="I93" s="14">
        <v>29.824746849211103</v>
      </c>
      <c r="J93" s="14">
        <v>37.51542707372321</v>
      </c>
      <c r="K93" s="14">
        <v>9.6966601659134728</v>
      </c>
      <c r="L93" s="14">
        <v>11.89246421712734</v>
      </c>
      <c r="M93" s="14">
        <v>33.052979088566694</v>
      </c>
      <c r="N93" s="14">
        <v>85.014342388433576</v>
      </c>
      <c r="O93" s="14">
        <v>34.197427958791984</v>
      </c>
      <c r="P93" s="14">
        <v>11.812971902909474</v>
      </c>
      <c r="Q93" s="14">
        <v>64.981961420739054</v>
      </c>
      <c r="R93" s="14">
        <v>75.521747003342796</v>
      </c>
      <c r="S93" s="14">
        <v>61.331061592020397</v>
      </c>
      <c r="T93" s="14">
        <v>5.7610042800700594</v>
      </c>
      <c r="U93" s="14">
        <v>75.495108815438343</v>
      </c>
      <c r="V93" s="14">
        <v>8.2172500831216855</v>
      </c>
      <c r="W93" s="14">
        <v>35.349490350525393</v>
      </c>
      <c r="X93" s="14">
        <v>85.816277720714822</v>
      </c>
      <c r="Y93" s="14">
        <v>95.372001679182958</v>
      </c>
      <c r="Z93" s="14">
        <v>23.336470034314338</v>
      </c>
      <c r="AA93" s="14">
        <v>92.99911786284629</v>
      </c>
      <c r="AB93" s="14">
        <v>5.215582898891336</v>
      </c>
      <c r="AC93" s="14">
        <v>7.1145915304493439</v>
      </c>
      <c r="AD93" s="14">
        <v>98.62317018657923</v>
      </c>
      <c r="AE93" s="14">
        <v>44.736610266271789</v>
      </c>
      <c r="AF93" s="14">
        <v>4.5716233836200493</v>
      </c>
      <c r="AG93" s="14">
        <v>33.012609118906688</v>
      </c>
      <c r="AH93" s="14">
        <v>60.082658032490279</v>
      </c>
      <c r="AI93" s="14">
        <v>21.595892979340057</v>
      </c>
      <c r="AJ93" s="14">
        <v>71.183689459624688</v>
      </c>
      <c r="AK93" s="14">
        <v>53.016111546664291</v>
      </c>
      <c r="AL93" s="14">
        <v>97.924999028639689</v>
      </c>
      <c r="AM93" s="14">
        <v>1.27424761430176</v>
      </c>
      <c r="AN93" s="14">
        <v>10.588515128132181</v>
      </c>
      <c r="AO93" s="14">
        <v>62.509336793237402</v>
      </c>
      <c r="AP93" s="14">
        <v>19.958953640840782</v>
      </c>
      <c r="AQ93" s="14">
        <v>4.8137123505825663</v>
      </c>
      <c r="AR93" s="14">
        <v>74.045025196331096</v>
      </c>
      <c r="AS93" s="14">
        <v>97.608299729364418</v>
      </c>
      <c r="AT93" s="14">
        <v>13.981363640645139</v>
      </c>
      <c r="AU93" s="14">
        <v>66.054199869046229</v>
      </c>
      <c r="AV93" s="14">
        <v>11.573605897974314</v>
      </c>
      <c r="AW93" s="14">
        <v>16.908382167577074</v>
      </c>
      <c r="AX93" s="14">
        <v>96.016315517236634</v>
      </c>
      <c r="AY93" s="14">
        <v>81.035507770220079</v>
      </c>
      <c r="AZ93" s="14">
        <v>4.2848010674342962</v>
      </c>
      <c r="BA93" s="14">
        <v>99.984355416663121</v>
      </c>
      <c r="BB93" s="14">
        <v>13.836946867400091</v>
      </c>
      <c r="BC93" s="14">
        <v>7.7854270239008372</v>
      </c>
      <c r="BD93" s="14">
        <v>4.7721001345175313</v>
      </c>
    </row>
    <row r="94" spans="1:56" x14ac:dyDescent="0.3">
      <c r="A94" s="19">
        <v>2015</v>
      </c>
      <c r="B94" s="8" t="s">
        <v>84</v>
      </c>
      <c r="C94" s="8" t="str">
        <f t="shared" si="4"/>
        <v>SC</v>
      </c>
      <c r="D94" s="8" t="str">
        <f t="shared" si="5"/>
        <v>南卡罗来纳</v>
      </c>
      <c r="E94" s="15">
        <v>7.1890161567310873</v>
      </c>
      <c r="F94" s="15">
        <v>74.456321358791882</v>
      </c>
      <c r="G94" s="15">
        <v>0.32094978034677979</v>
      </c>
      <c r="H94" s="15">
        <v>53.063106708128785</v>
      </c>
      <c r="I94" s="15">
        <v>79.953047611368049</v>
      </c>
      <c r="J94" s="15">
        <v>1.0366250584460279</v>
      </c>
      <c r="K94" s="15">
        <v>85.663140248311819</v>
      </c>
      <c r="L94" s="15">
        <v>59.317678975118248</v>
      </c>
      <c r="M94" s="15">
        <v>5.6952620391926834</v>
      </c>
      <c r="N94" s="15">
        <v>84.641235599355582</v>
      </c>
      <c r="O94" s="15">
        <v>39.477869372291444</v>
      </c>
      <c r="P94" s="15">
        <v>53.249847237655324</v>
      </c>
      <c r="Q94" s="15">
        <v>51.534648795433924</v>
      </c>
      <c r="R94" s="15">
        <v>56.879491314277949</v>
      </c>
      <c r="S94" s="15">
        <v>38.827059379273074</v>
      </c>
      <c r="T94" s="15">
        <v>72.784430277024853</v>
      </c>
      <c r="U94" s="15">
        <v>14.363208539105866</v>
      </c>
      <c r="V94" s="15">
        <v>85.463851254286311</v>
      </c>
      <c r="W94" s="15">
        <v>22.997104718277718</v>
      </c>
      <c r="X94" s="15">
        <v>94.983293768615368</v>
      </c>
      <c r="Y94" s="15">
        <v>64.715970139797136</v>
      </c>
      <c r="Z94" s="15">
        <v>59.895960990780935</v>
      </c>
      <c r="AA94" s="15">
        <v>72.366891537439926</v>
      </c>
      <c r="AB94" s="15">
        <v>92.533244498890284</v>
      </c>
      <c r="AC94" s="15">
        <v>41.929791324861057</v>
      </c>
      <c r="AD94" s="15">
        <v>67.194464555781366</v>
      </c>
      <c r="AE94" s="15">
        <v>52.039682942792624</v>
      </c>
      <c r="AF94" s="15">
        <v>77.169235881044457</v>
      </c>
      <c r="AG94" s="15">
        <v>66.602370600226919</v>
      </c>
      <c r="AH94" s="15">
        <v>52.944439436878334</v>
      </c>
      <c r="AI94" s="15">
        <v>58.933574449881164</v>
      </c>
      <c r="AJ94" s="15">
        <v>0.64599895564873</v>
      </c>
      <c r="AK94" s="15">
        <v>47.409585878683856</v>
      </c>
      <c r="AL94" s="15">
        <v>76.514502758703273</v>
      </c>
      <c r="AM94" s="15">
        <v>58.431904575705794</v>
      </c>
      <c r="AN94" s="15">
        <v>78.117035591899253</v>
      </c>
      <c r="AO94" s="15">
        <v>83.825409046018933</v>
      </c>
      <c r="AP94" s="15">
        <v>70.76914412244534</v>
      </c>
      <c r="AQ94" s="15">
        <v>25.244711461300049</v>
      </c>
      <c r="AR94" s="15">
        <v>30.557075701787994</v>
      </c>
      <c r="AS94" s="15">
        <v>70.768048059561266</v>
      </c>
      <c r="AT94" s="15">
        <v>46.306808001326061</v>
      </c>
      <c r="AU94" s="15">
        <v>43.362182129364733</v>
      </c>
      <c r="AV94" s="15">
        <v>51.827536507578309</v>
      </c>
      <c r="AW94" s="15">
        <v>91.268472831923575</v>
      </c>
      <c r="AX94" s="15">
        <v>42.848372117731351</v>
      </c>
      <c r="AY94" s="15">
        <v>49.750339965299752</v>
      </c>
      <c r="AZ94" s="15">
        <v>37.003735076881242</v>
      </c>
      <c r="BA94" s="15">
        <v>69.78356056322427</v>
      </c>
      <c r="BB94" s="15">
        <v>62.317897696496594</v>
      </c>
      <c r="BC94" s="15">
        <v>49.644963531144761</v>
      </c>
      <c r="BD94" s="15">
        <v>77.103694317013876</v>
      </c>
    </row>
    <row r="95" spans="1:56" x14ac:dyDescent="0.3">
      <c r="A95" s="18">
        <v>2015</v>
      </c>
      <c r="B95" s="6" t="s">
        <v>86</v>
      </c>
      <c r="C95" s="6" t="str">
        <f t="shared" si="4"/>
        <v>SD</v>
      </c>
      <c r="D95" s="6" t="str">
        <f t="shared" si="5"/>
        <v>南达科他州</v>
      </c>
      <c r="E95" s="14">
        <v>21.495850923525229</v>
      </c>
      <c r="F95" s="14">
        <v>88.146077999742715</v>
      </c>
      <c r="G95" s="14">
        <v>14.651412213128012</v>
      </c>
      <c r="H95" s="14">
        <v>68.245612126359845</v>
      </c>
      <c r="I95" s="14">
        <v>88.324329890570397</v>
      </c>
      <c r="J95" s="14">
        <v>61.487445039982489</v>
      </c>
      <c r="K95" s="14">
        <v>79.73551771381247</v>
      </c>
      <c r="L95" s="14">
        <v>48.345019175431112</v>
      </c>
      <c r="M95" s="14">
        <v>8.9090576679342508</v>
      </c>
      <c r="N95" s="14">
        <v>88.659173744569955</v>
      </c>
      <c r="O95" s="14">
        <v>88.526115269525164</v>
      </c>
      <c r="P95" s="14">
        <v>61.237127494200237</v>
      </c>
      <c r="Q95" s="14">
        <v>11.514576861523718</v>
      </c>
      <c r="R95" s="14">
        <v>67.810956243104997</v>
      </c>
      <c r="S95" s="14">
        <v>55.753686286624806</v>
      </c>
      <c r="T95" s="14">
        <v>97.158227737249803</v>
      </c>
      <c r="U95" s="14">
        <v>31.186044335560183</v>
      </c>
      <c r="V95" s="14">
        <v>12.691661660130249</v>
      </c>
      <c r="W95" s="14">
        <v>23.214989914098695</v>
      </c>
      <c r="X95" s="14">
        <v>71.836974468423477</v>
      </c>
      <c r="Y95" s="14">
        <v>17.212637760413351</v>
      </c>
      <c r="Z95" s="14">
        <v>90.7479615168468</v>
      </c>
      <c r="AA95" s="14">
        <v>5.8671930318722865</v>
      </c>
      <c r="AB95" s="14">
        <v>83.853690010744543</v>
      </c>
      <c r="AC95" s="14">
        <v>4.2268239940657537</v>
      </c>
      <c r="AD95" s="14">
        <v>5.1732370095974423</v>
      </c>
      <c r="AE95" s="14">
        <v>83.453436288935535</v>
      </c>
      <c r="AF95" s="14">
        <v>59.806103445551585</v>
      </c>
      <c r="AG95" s="14">
        <v>15.219741172824763</v>
      </c>
      <c r="AH95" s="14">
        <v>56.250325725043282</v>
      </c>
      <c r="AI95" s="14">
        <v>6.5850430990255227</v>
      </c>
      <c r="AJ95" s="14">
        <v>84.095426882596072</v>
      </c>
      <c r="AK95" s="14">
        <v>60.235530461717424</v>
      </c>
      <c r="AL95" s="14">
        <v>8.6828791191685628</v>
      </c>
      <c r="AM95" s="14">
        <v>69.905377020490008</v>
      </c>
      <c r="AN95" s="14">
        <v>37.718512439850585</v>
      </c>
      <c r="AO95" s="14">
        <v>6.5723515000891908</v>
      </c>
      <c r="AP95" s="14">
        <v>60.790410685393226</v>
      </c>
      <c r="AQ95" s="14">
        <v>18.498512262012778</v>
      </c>
      <c r="AR95" s="14">
        <v>59.002607345213342</v>
      </c>
      <c r="AS95" s="14">
        <v>79.949686997488726</v>
      </c>
      <c r="AT95" s="14">
        <v>28.414393952813622</v>
      </c>
      <c r="AU95" s="14">
        <v>28.349277023360219</v>
      </c>
      <c r="AV95" s="14">
        <v>13.485390092220396</v>
      </c>
      <c r="AW95" s="14">
        <v>14.410052037661526</v>
      </c>
      <c r="AX95" s="14">
        <v>36.922041027610597</v>
      </c>
      <c r="AY95" s="14">
        <v>4.9781296469021186</v>
      </c>
      <c r="AZ95" s="14">
        <v>80.718651468803301</v>
      </c>
      <c r="BA95" s="14">
        <v>19.286036481368431</v>
      </c>
      <c r="BB95" s="14">
        <v>63.964420986829815</v>
      </c>
      <c r="BC95" s="14">
        <v>90.285453858022109</v>
      </c>
      <c r="BD95" s="14">
        <v>61.725939625211943</v>
      </c>
    </row>
    <row r="96" spans="1:56" x14ac:dyDescent="0.3">
      <c r="A96" s="19">
        <v>2015</v>
      </c>
      <c r="B96" s="8" t="s">
        <v>88</v>
      </c>
      <c r="C96" s="8" t="str">
        <f t="shared" si="4"/>
        <v>TN</v>
      </c>
      <c r="D96" s="8" t="str">
        <f t="shared" si="5"/>
        <v>田纳西州</v>
      </c>
      <c r="E96" s="15">
        <v>39.971921037553692</v>
      </c>
      <c r="F96" s="15">
        <v>56.276044427183422</v>
      </c>
      <c r="G96" s="15">
        <v>76.560126554758327</v>
      </c>
      <c r="H96" s="15">
        <v>25.454706300826214</v>
      </c>
      <c r="I96" s="15">
        <v>89.391250720097901</v>
      </c>
      <c r="J96" s="15">
        <v>62.321314829336714</v>
      </c>
      <c r="K96" s="15">
        <v>35.114740399661706</v>
      </c>
      <c r="L96" s="15">
        <v>61.144945335461856</v>
      </c>
      <c r="M96" s="15">
        <v>7.4447652822688841</v>
      </c>
      <c r="N96" s="15">
        <v>65.120169822513645</v>
      </c>
      <c r="O96" s="15">
        <v>31.52841152257896</v>
      </c>
      <c r="P96" s="15">
        <v>21.43095535657935</v>
      </c>
      <c r="Q96" s="15">
        <v>24.589280102347345</v>
      </c>
      <c r="R96" s="15">
        <v>76.006743220494172</v>
      </c>
      <c r="S96" s="15">
        <v>54.629641031748577</v>
      </c>
      <c r="T96" s="15">
        <v>19.754084151874064</v>
      </c>
      <c r="U96" s="15">
        <v>87.395224139686817</v>
      </c>
      <c r="V96" s="15">
        <v>26.785765018966501</v>
      </c>
      <c r="W96" s="15">
        <v>82.420490469737459</v>
      </c>
      <c r="X96" s="15">
        <v>70.499945423013116</v>
      </c>
      <c r="Y96" s="15">
        <v>26.262097907012858</v>
      </c>
      <c r="Z96" s="15">
        <v>71.5233499102427</v>
      </c>
      <c r="AA96" s="15">
        <v>19.551983756843928</v>
      </c>
      <c r="AB96" s="15">
        <v>32.743163712383904</v>
      </c>
      <c r="AC96" s="15">
        <v>75.603034878601889</v>
      </c>
      <c r="AD96" s="15">
        <v>99.668107598794663</v>
      </c>
      <c r="AE96" s="15">
        <v>92.664407228206713</v>
      </c>
      <c r="AF96" s="15">
        <v>81.201004298418184</v>
      </c>
      <c r="AG96" s="15">
        <v>56.199274359154813</v>
      </c>
      <c r="AH96" s="15">
        <v>35.863050834869448</v>
      </c>
      <c r="AI96" s="15">
        <v>72.378871325357508</v>
      </c>
      <c r="AJ96" s="15">
        <v>45.004125393066104</v>
      </c>
      <c r="AK96" s="15">
        <v>75.680399543900535</v>
      </c>
      <c r="AL96" s="15">
        <v>12.874692100904939</v>
      </c>
      <c r="AM96" s="15">
        <v>72.391654557593739</v>
      </c>
      <c r="AN96" s="15">
        <v>19.892610393053456</v>
      </c>
      <c r="AO96" s="15">
        <v>94.490896352205965</v>
      </c>
      <c r="AP96" s="15">
        <v>88.388301509111784</v>
      </c>
      <c r="AQ96" s="15">
        <v>38.717972320895832</v>
      </c>
      <c r="AR96" s="15">
        <v>73.129916585396231</v>
      </c>
      <c r="AS96" s="15">
        <v>83.198659429416082</v>
      </c>
      <c r="AT96" s="15">
        <v>84.038433003380348</v>
      </c>
      <c r="AU96" s="15">
        <v>78.134830991802858</v>
      </c>
      <c r="AV96" s="15">
        <v>25.905266568659314</v>
      </c>
      <c r="AW96" s="15">
        <v>66.699317241525833</v>
      </c>
      <c r="AX96" s="15">
        <v>66.983148449286674</v>
      </c>
      <c r="AY96" s="15">
        <v>93.768984390901764</v>
      </c>
      <c r="AZ96" s="15">
        <v>8.2749386873060988</v>
      </c>
      <c r="BA96" s="15">
        <v>59.968624493759812</v>
      </c>
      <c r="BB96" s="15">
        <v>35.374056450884964</v>
      </c>
      <c r="BC96" s="15">
        <v>18.429695734822214</v>
      </c>
      <c r="BD96" s="15">
        <v>54.418747075595796</v>
      </c>
    </row>
    <row r="97" spans="1:56" x14ac:dyDescent="0.3">
      <c r="A97" s="18">
        <v>2015</v>
      </c>
      <c r="B97" s="6" t="s">
        <v>90</v>
      </c>
      <c r="C97" s="6" t="str">
        <f t="shared" si="4"/>
        <v>TX</v>
      </c>
      <c r="D97" s="6" t="str">
        <f t="shared" si="5"/>
        <v>德州</v>
      </c>
      <c r="E97" s="14">
        <v>85.199309086958891</v>
      </c>
      <c r="F97" s="14">
        <v>62.622972799641509</v>
      </c>
      <c r="G97" s="14">
        <v>57.35319729162093</v>
      </c>
      <c r="H97" s="14">
        <v>22.96865427437136</v>
      </c>
      <c r="I97" s="14">
        <v>66.146731585587688</v>
      </c>
      <c r="J97" s="14">
        <v>12.080817866102954</v>
      </c>
      <c r="K97" s="14">
        <v>80.598248459194238</v>
      </c>
      <c r="L97" s="14">
        <v>28.863892098823808</v>
      </c>
      <c r="M97" s="14">
        <v>83.358141822478984</v>
      </c>
      <c r="N97" s="14">
        <v>56.495640837716451</v>
      </c>
      <c r="O97" s="14">
        <v>44.456416081712433</v>
      </c>
      <c r="P97" s="14">
        <v>6.8259776006963317</v>
      </c>
      <c r="Q97" s="14">
        <v>60.738819811126575</v>
      </c>
      <c r="R97" s="14">
        <v>15.459704208949498</v>
      </c>
      <c r="S97" s="14">
        <v>45.214230880808749</v>
      </c>
      <c r="T97" s="14">
        <v>7.8190867585574253</v>
      </c>
      <c r="U97" s="14">
        <v>60.081914943864</v>
      </c>
      <c r="V97" s="14">
        <v>41.028233729010289</v>
      </c>
      <c r="W97" s="14">
        <v>93.090464026109885</v>
      </c>
      <c r="X97" s="14">
        <v>14.115669548301202</v>
      </c>
      <c r="Y97" s="14">
        <v>96.507630323137533</v>
      </c>
      <c r="Z97" s="14">
        <v>90.820716965772604</v>
      </c>
      <c r="AA97" s="14">
        <v>82.180273544052653</v>
      </c>
      <c r="AB97" s="14">
        <v>50.0797817915373</v>
      </c>
      <c r="AC97" s="14">
        <v>23.145442661039883</v>
      </c>
      <c r="AD97" s="14">
        <v>47.83068234663169</v>
      </c>
      <c r="AE97" s="14">
        <v>51.39067101947672</v>
      </c>
      <c r="AF97" s="14">
        <v>71.948465091135205</v>
      </c>
      <c r="AG97" s="14">
        <v>63.212343205270614</v>
      </c>
      <c r="AH97" s="14">
        <v>81.780620623438082</v>
      </c>
      <c r="AI97" s="14">
        <v>86.052351963810011</v>
      </c>
      <c r="AJ97" s="14">
        <v>34.236184056816555</v>
      </c>
      <c r="AK97" s="14">
        <v>74.575162421184856</v>
      </c>
      <c r="AL97" s="14">
        <v>75.213518066932963</v>
      </c>
      <c r="AM97" s="14">
        <v>16.480027362871606</v>
      </c>
      <c r="AN97" s="14">
        <v>92.158434478594572</v>
      </c>
      <c r="AO97" s="14">
        <v>14.750171178713989</v>
      </c>
      <c r="AP97" s="14">
        <v>99.43649788085682</v>
      </c>
      <c r="AQ97" s="14">
        <v>57.283570709334008</v>
      </c>
      <c r="AR97" s="14">
        <v>10.949084316443436</v>
      </c>
      <c r="AS97" s="14">
        <v>64.651585068892018</v>
      </c>
      <c r="AT97" s="14">
        <v>38.136068265738501</v>
      </c>
      <c r="AU97" s="14">
        <v>40.809360912448746</v>
      </c>
      <c r="AV97" s="14">
        <v>50.709566592211971</v>
      </c>
      <c r="AW97" s="14">
        <v>88.869115677695063</v>
      </c>
      <c r="AX97" s="14">
        <v>49.877579321056473</v>
      </c>
      <c r="AY97" s="14">
        <v>28.2076964391598</v>
      </c>
      <c r="AZ97" s="14">
        <v>17.377003666840483</v>
      </c>
      <c r="BA97" s="14">
        <v>94.367317850358674</v>
      </c>
      <c r="BB97" s="14">
        <v>63.858777472894992</v>
      </c>
      <c r="BC97" s="14">
        <v>37.587488462508858</v>
      </c>
      <c r="BD97" s="14">
        <v>53.093812369507773</v>
      </c>
    </row>
    <row r="98" spans="1:56" x14ac:dyDescent="0.3">
      <c r="A98" s="19">
        <v>2015</v>
      </c>
      <c r="B98" s="8" t="s">
        <v>92</v>
      </c>
      <c r="C98" s="8" t="str">
        <f t="shared" ref="C98:C129" si="6">VLOOKUP(B98,INEXES,2,0)</f>
        <v>UT</v>
      </c>
      <c r="D98" s="8" t="str">
        <f t="shared" ref="D98:D129" si="7">VLOOKUP(B98,INEXES,3,0)</f>
        <v>犹他州</v>
      </c>
      <c r="E98" s="15">
        <v>79.477059722633953</v>
      </c>
      <c r="F98" s="15">
        <v>20.905643930012719</v>
      </c>
      <c r="G98" s="15">
        <v>37.940194450132935</v>
      </c>
      <c r="H98" s="15">
        <v>82.349750120365741</v>
      </c>
      <c r="I98" s="15">
        <v>5.107441432407489</v>
      </c>
      <c r="J98" s="15">
        <v>5.8997669252643821</v>
      </c>
      <c r="K98" s="15">
        <v>5.6890867910564413</v>
      </c>
      <c r="L98" s="15">
        <v>53.106650603329712</v>
      </c>
      <c r="M98" s="15">
        <v>18.288616143582146</v>
      </c>
      <c r="N98" s="15">
        <v>47.538379281708679</v>
      </c>
      <c r="O98" s="15">
        <v>88.87044751463759</v>
      </c>
      <c r="P98" s="15">
        <v>55.45353749844444</v>
      </c>
      <c r="Q98" s="15">
        <v>4.5400715272664316</v>
      </c>
      <c r="R98" s="15">
        <v>36.644810018226167</v>
      </c>
      <c r="S98" s="15">
        <v>71.850417163312045</v>
      </c>
      <c r="T98" s="15">
        <v>96.94978212418674</v>
      </c>
      <c r="U98" s="15">
        <v>59.039175559500542</v>
      </c>
      <c r="V98" s="15">
        <v>9.9222418130753613</v>
      </c>
      <c r="W98" s="15">
        <v>64.906728950465393</v>
      </c>
      <c r="X98" s="15">
        <v>16.516229379273817</v>
      </c>
      <c r="Y98" s="15">
        <v>40.978005683031185</v>
      </c>
      <c r="Z98" s="15">
        <v>98.442907902199778</v>
      </c>
      <c r="AA98" s="15">
        <v>72.019001673596691</v>
      </c>
      <c r="AB98" s="15">
        <v>43.001289823194163</v>
      </c>
      <c r="AC98" s="15">
        <v>25.670453024126559</v>
      </c>
      <c r="AD98" s="15">
        <v>58.945835463927096</v>
      </c>
      <c r="AE98" s="15">
        <v>21.316181970677619</v>
      </c>
      <c r="AF98" s="15">
        <v>43.514748145521942</v>
      </c>
      <c r="AG98" s="15">
        <v>95.179868019689351</v>
      </c>
      <c r="AH98" s="15">
        <v>5.6501137176015792</v>
      </c>
      <c r="AI98" s="15">
        <v>65.660775018887463</v>
      </c>
      <c r="AJ98" s="15">
        <v>87.50867231549762</v>
      </c>
      <c r="AK98" s="15">
        <v>82.972155959925672</v>
      </c>
      <c r="AL98" s="15">
        <v>30.692054550230097</v>
      </c>
      <c r="AM98" s="15">
        <v>7.4068748053789264</v>
      </c>
      <c r="AN98" s="15">
        <v>90.472820889635187</v>
      </c>
      <c r="AO98" s="15">
        <v>98.897931671148314</v>
      </c>
      <c r="AP98" s="15">
        <v>37.109687996620757</v>
      </c>
      <c r="AQ98" s="15">
        <v>58.777374753863157</v>
      </c>
      <c r="AR98" s="15">
        <v>67.510476034159325</v>
      </c>
      <c r="AS98" s="15">
        <v>17.164158162041264</v>
      </c>
      <c r="AT98" s="15">
        <v>66.902454657346127</v>
      </c>
      <c r="AU98" s="15">
        <v>83.534604742087041</v>
      </c>
      <c r="AV98" s="15">
        <v>90.499820082200571</v>
      </c>
      <c r="AW98" s="15">
        <v>61.306577670589277</v>
      </c>
      <c r="AX98" s="15">
        <v>36.599561740161924</v>
      </c>
      <c r="AY98" s="15">
        <v>65.462442478944936</v>
      </c>
      <c r="AZ98" s="15">
        <v>78.723068380551055</v>
      </c>
      <c r="BA98" s="15">
        <v>16.081241658991587</v>
      </c>
      <c r="BB98" s="15">
        <v>17.106383263661009</v>
      </c>
      <c r="BC98" s="15">
        <v>38.839261114618814</v>
      </c>
      <c r="BD98" s="15">
        <v>5.6598572084128884</v>
      </c>
    </row>
    <row r="99" spans="1:56" x14ac:dyDescent="0.3">
      <c r="A99" s="18">
        <v>2015</v>
      </c>
      <c r="B99" s="6" t="s">
        <v>94</v>
      </c>
      <c r="C99" s="6" t="str">
        <f t="shared" si="6"/>
        <v>VT</v>
      </c>
      <c r="D99" s="6" t="str">
        <f t="shared" si="7"/>
        <v>佛蒙特州</v>
      </c>
      <c r="E99" s="14">
        <v>86.800488005165761</v>
      </c>
      <c r="F99" s="14">
        <v>58.300745829845191</v>
      </c>
      <c r="G99" s="14">
        <v>56.053837715681468</v>
      </c>
      <c r="H99" s="14">
        <v>33.022857950514805</v>
      </c>
      <c r="I99" s="14">
        <v>89.146347578493135</v>
      </c>
      <c r="J99" s="14">
        <v>57.122173544085207</v>
      </c>
      <c r="K99" s="14">
        <v>55.175505286976389</v>
      </c>
      <c r="L99" s="14">
        <v>46.711993962490425</v>
      </c>
      <c r="M99" s="14">
        <v>28.240685240690667</v>
      </c>
      <c r="N99" s="14">
        <v>2.1843068149475564</v>
      </c>
      <c r="O99" s="14">
        <v>62.808876409552461</v>
      </c>
      <c r="P99" s="14">
        <v>69.121295423577536</v>
      </c>
      <c r="Q99" s="14">
        <v>43.088790903927887</v>
      </c>
      <c r="R99" s="14">
        <v>75.169624927683103</v>
      </c>
      <c r="S99" s="14">
        <v>19.168587853599007</v>
      </c>
      <c r="T99" s="14">
        <v>2.440244099081379</v>
      </c>
      <c r="U99" s="14">
        <v>44.928503860882088</v>
      </c>
      <c r="V99" s="14">
        <v>11.269265192090906</v>
      </c>
      <c r="W99" s="14">
        <v>89.165113779393067</v>
      </c>
      <c r="X99" s="14">
        <v>85.581175406906866</v>
      </c>
      <c r="Y99" s="14">
        <v>42.64082355940706</v>
      </c>
      <c r="Z99" s="14">
        <v>29.624362785974856</v>
      </c>
      <c r="AA99" s="14">
        <v>91.455341475588355</v>
      </c>
      <c r="AB99" s="14">
        <v>78.453375888067939</v>
      </c>
      <c r="AC99" s="14">
        <v>63.121082556832889</v>
      </c>
      <c r="AD99" s="14">
        <v>63.952713863659937</v>
      </c>
      <c r="AE99" s="14">
        <v>86.275974232278088</v>
      </c>
      <c r="AF99" s="14">
        <v>42.048786200074929</v>
      </c>
      <c r="AG99" s="14">
        <v>41.244473140599084</v>
      </c>
      <c r="AH99" s="14">
        <v>36.331196739893947</v>
      </c>
      <c r="AI99" s="14">
        <v>62.517172724755973</v>
      </c>
      <c r="AJ99" s="14">
        <v>82.768173167767443</v>
      </c>
      <c r="AK99" s="14">
        <v>29.47939949899223</v>
      </c>
      <c r="AL99" s="14">
        <v>90.496742616312233</v>
      </c>
      <c r="AM99" s="14">
        <v>73.97111671586957</v>
      </c>
      <c r="AN99" s="14">
        <v>47.635808981599382</v>
      </c>
      <c r="AO99" s="14">
        <v>33.417769476305402</v>
      </c>
      <c r="AP99" s="14">
        <v>11.292244712354949</v>
      </c>
      <c r="AQ99" s="14">
        <v>65.279740305169057</v>
      </c>
      <c r="AR99" s="14">
        <v>8.3650717996888062</v>
      </c>
      <c r="AS99" s="14">
        <v>5.8331368423797603</v>
      </c>
      <c r="AT99" s="14">
        <v>2.8926387245457597</v>
      </c>
      <c r="AU99" s="14">
        <v>48.726072190360128</v>
      </c>
      <c r="AV99" s="14">
        <v>85.070010576783545</v>
      </c>
      <c r="AW99" s="14">
        <v>75.451170499274212</v>
      </c>
      <c r="AX99" s="14">
        <v>89.850997718408081</v>
      </c>
      <c r="AY99" s="14">
        <v>62.857500988042247</v>
      </c>
      <c r="AZ99" s="14">
        <v>70.564908354269534</v>
      </c>
      <c r="BA99" s="14">
        <v>61.891602707896212</v>
      </c>
      <c r="BB99" s="14">
        <v>31.543149982438578</v>
      </c>
      <c r="BC99" s="14">
        <v>48.418953422696077</v>
      </c>
      <c r="BD99" s="14">
        <v>49.710249259991322</v>
      </c>
    </row>
    <row r="100" spans="1:56" x14ac:dyDescent="0.3">
      <c r="A100" s="19">
        <v>2015</v>
      </c>
      <c r="B100" s="8" t="s">
        <v>96</v>
      </c>
      <c r="C100" s="8" t="str">
        <f t="shared" si="6"/>
        <v>VA</v>
      </c>
      <c r="D100" s="8" t="str">
        <f t="shared" si="7"/>
        <v>维吉尼亚州</v>
      </c>
      <c r="E100" s="15">
        <v>9.3392288496722653</v>
      </c>
      <c r="F100" s="15">
        <v>42.802695731438277</v>
      </c>
      <c r="G100" s="15">
        <v>10.627352812239966</v>
      </c>
      <c r="H100" s="15">
        <v>33.168796636760256</v>
      </c>
      <c r="I100" s="15">
        <v>91.59419826325896</v>
      </c>
      <c r="J100" s="15">
        <v>81.350019706843042</v>
      </c>
      <c r="K100" s="15">
        <v>62.958623026818891</v>
      </c>
      <c r="L100" s="15">
        <v>73.231473186749355</v>
      </c>
      <c r="M100" s="15">
        <v>82.795571497259346</v>
      </c>
      <c r="N100" s="15">
        <v>62.798930834274877</v>
      </c>
      <c r="O100" s="15">
        <v>44.146437330450638</v>
      </c>
      <c r="P100" s="15">
        <v>94.090412253565631</v>
      </c>
      <c r="Q100" s="15">
        <v>25.438753447563901</v>
      </c>
      <c r="R100" s="15">
        <v>77.125354445958578</v>
      </c>
      <c r="S100" s="15">
        <v>14.643209634499177</v>
      </c>
      <c r="T100" s="15">
        <v>37.025138463589677</v>
      </c>
      <c r="U100" s="15">
        <v>73.742693881365852</v>
      </c>
      <c r="V100" s="15">
        <v>3.526845279956603</v>
      </c>
      <c r="W100" s="15">
        <v>41.315648359960932</v>
      </c>
      <c r="X100" s="15">
        <v>59.123044312373942</v>
      </c>
      <c r="Y100" s="15">
        <v>64.390528016298575</v>
      </c>
      <c r="Z100" s="15">
        <v>33.075709652481187</v>
      </c>
      <c r="AA100" s="15">
        <v>47.772232313023821</v>
      </c>
      <c r="AB100" s="15">
        <v>52.416505389948512</v>
      </c>
      <c r="AC100" s="15">
        <v>67.657440666596429</v>
      </c>
      <c r="AD100" s="15">
        <v>91.335503254376661</v>
      </c>
      <c r="AE100" s="15">
        <v>48.669656645128455</v>
      </c>
      <c r="AF100" s="15">
        <v>15.174002445495683</v>
      </c>
      <c r="AG100" s="15">
        <v>85.41329264097422</v>
      </c>
      <c r="AH100" s="15">
        <v>67.228208702142751</v>
      </c>
      <c r="AI100" s="15">
        <v>16.130607169798729</v>
      </c>
      <c r="AJ100" s="15">
        <v>23.369655165802072</v>
      </c>
      <c r="AK100" s="15">
        <v>55.377952389388732</v>
      </c>
      <c r="AL100" s="15">
        <v>52.297458241848339</v>
      </c>
      <c r="AM100" s="15">
        <v>4.8329938072973704</v>
      </c>
      <c r="AN100" s="15">
        <v>55.061387799471092</v>
      </c>
      <c r="AO100" s="15">
        <v>62.815319554965598</v>
      </c>
      <c r="AP100" s="15">
        <v>56.543068398809538</v>
      </c>
      <c r="AQ100" s="15">
        <v>3.693852366782191</v>
      </c>
      <c r="AR100" s="15">
        <v>57.952308439823419</v>
      </c>
      <c r="AS100" s="15">
        <v>40.789187854278417</v>
      </c>
      <c r="AT100" s="15">
        <v>58.481747605312108</v>
      </c>
      <c r="AU100" s="15">
        <v>27.009451461445067</v>
      </c>
      <c r="AV100" s="15">
        <v>86.185006020505966</v>
      </c>
      <c r="AW100" s="15">
        <v>70.638390885441481</v>
      </c>
      <c r="AX100" s="15">
        <v>67.548505925898979</v>
      </c>
      <c r="AY100" s="15">
        <v>57.432472784024569</v>
      </c>
      <c r="AZ100" s="15">
        <v>83.928926097498618</v>
      </c>
      <c r="BA100" s="15">
        <v>85.854068126493218</v>
      </c>
      <c r="BB100" s="15">
        <v>0.49639676091891571</v>
      </c>
      <c r="BC100" s="15">
        <v>75.123820241061253</v>
      </c>
      <c r="BD100" s="15">
        <v>83.913011516630917</v>
      </c>
    </row>
    <row r="101" spans="1:56" x14ac:dyDescent="0.3">
      <c r="A101" s="18">
        <v>2015</v>
      </c>
      <c r="B101" s="6" t="s">
        <v>98</v>
      </c>
      <c r="C101" s="6" t="str">
        <f t="shared" si="6"/>
        <v>WA</v>
      </c>
      <c r="D101" s="6" t="str">
        <f t="shared" si="7"/>
        <v>华盛顿</v>
      </c>
      <c r="E101" s="14">
        <v>49.778807599319549</v>
      </c>
      <c r="F101" s="14">
        <v>91.593967490450694</v>
      </c>
      <c r="G101" s="14">
        <v>85.976409315547443</v>
      </c>
      <c r="H101" s="14">
        <v>20.337169217713214</v>
      </c>
      <c r="I101" s="14">
        <v>22.503722097635858</v>
      </c>
      <c r="J101" s="14">
        <v>0.15017647641271115</v>
      </c>
      <c r="K101" s="14">
        <v>85.569126155644341</v>
      </c>
      <c r="L101" s="14">
        <v>72.229305333426666</v>
      </c>
      <c r="M101" s="14">
        <v>34.975229259426264</v>
      </c>
      <c r="N101" s="14">
        <v>33.329362012674871</v>
      </c>
      <c r="O101" s="14">
        <v>25.864872987016341</v>
      </c>
      <c r="P101" s="14">
        <v>2.0898941663956894</v>
      </c>
      <c r="Q101" s="14">
        <v>99.188392936206867</v>
      </c>
      <c r="R101" s="14">
        <v>36.956275048773954</v>
      </c>
      <c r="S101" s="14">
        <v>18.634692414013109</v>
      </c>
      <c r="T101" s="14">
        <v>47.379305503096781</v>
      </c>
      <c r="U101" s="14">
        <v>11.9074972279553</v>
      </c>
      <c r="V101" s="14">
        <v>86.408484454794674</v>
      </c>
      <c r="W101" s="14">
        <v>41.251084255972202</v>
      </c>
      <c r="X101" s="14">
        <v>8.7617622126800576</v>
      </c>
      <c r="Y101" s="14">
        <v>97.281386652327967</v>
      </c>
      <c r="Z101" s="14">
        <v>54.63231319439511</v>
      </c>
      <c r="AA101" s="14">
        <v>0.34943973882543</v>
      </c>
      <c r="AB101" s="14">
        <v>85.829630565189646</v>
      </c>
      <c r="AC101" s="14">
        <v>41.721960560926149</v>
      </c>
      <c r="AD101" s="14">
        <v>49.823771422395232</v>
      </c>
      <c r="AE101" s="14">
        <v>84.3602011986832</v>
      </c>
      <c r="AF101" s="14">
        <v>45.607037774178785</v>
      </c>
      <c r="AG101" s="14">
        <v>5.60194677584599</v>
      </c>
      <c r="AH101" s="14">
        <v>51.267721124553312</v>
      </c>
      <c r="AI101" s="14">
        <v>59.723594517180366</v>
      </c>
      <c r="AJ101" s="14">
        <v>52.064708449286634</v>
      </c>
      <c r="AK101" s="14">
        <v>93.897515869977894</v>
      </c>
      <c r="AL101" s="14">
        <v>78.97371986707428</v>
      </c>
      <c r="AM101" s="14">
        <v>66.394814309739246</v>
      </c>
      <c r="AN101" s="14">
        <v>33.975521811258815</v>
      </c>
      <c r="AO101" s="14">
        <v>41.406277542186146</v>
      </c>
      <c r="AP101" s="14">
        <v>45.219156016760842</v>
      </c>
      <c r="AQ101" s="14">
        <v>74.808549617412282</v>
      </c>
      <c r="AR101" s="14">
        <v>7.1230899339104088</v>
      </c>
      <c r="AS101" s="14">
        <v>75.946493212334659</v>
      </c>
      <c r="AT101" s="14">
        <v>63.971050293622532</v>
      </c>
      <c r="AU101" s="14">
        <v>46.548795330183609</v>
      </c>
      <c r="AV101" s="14">
        <v>59.551784023562995</v>
      </c>
      <c r="AW101" s="14">
        <v>50.961819672252531</v>
      </c>
      <c r="AX101" s="14">
        <v>8.8702318724133029</v>
      </c>
      <c r="AY101" s="14">
        <v>72.153301422510822</v>
      </c>
      <c r="AZ101" s="14">
        <v>40.618978415990171</v>
      </c>
      <c r="BA101" s="14">
        <v>79.225722418736538</v>
      </c>
      <c r="BB101" s="14">
        <v>2.2230810442434246</v>
      </c>
      <c r="BC101" s="14">
        <v>95.280807873166964</v>
      </c>
      <c r="BD101" s="14">
        <v>1.6158859540896686</v>
      </c>
    </row>
    <row r="102" spans="1:56" x14ac:dyDescent="0.3">
      <c r="A102" s="19">
        <v>2015</v>
      </c>
      <c r="B102" s="8" t="s">
        <v>100</v>
      </c>
      <c r="C102" s="8" t="str">
        <f t="shared" si="6"/>
        <v>WV</v>
      </c>
      <c r="D102" s="8" t="str">
        <f t="shared" si="7"/>
        <v>西维吉尼亚州</v>
      </c>
      <c r="E102" s="15">
        <v>63.870238233591678</v>
      </c>
      <c r="F102" s="15">
        <v>99.30703382898372</v>
      </c>
      <c r="G102" s="15">
        <v>70.021651357358266</v>
      </c>
      <c r="H102" s="15">
        <v>83.245499358384279</v>
      </c>
      <c r="I102" s="15">
        <v>46.672264189795307</v>
      </c>
      <c r="J102" s="15">
        <v>72.402842118259372</v>
      </c>
      <c r="K102" s="15">
        <v>26.743976138008907</v>
      </c>
      <c r="L102" s="15">
        <v>69.595979446639618</v>
      </c>
      <c r="M102" s="15">
        <v>82.076668820762833</v>
      </c>
      <c r="N102" s="15">
        <v>71.409855514693788</v>
      </c>
      <c r="O102" s="15">
        <v>89.113050639738162</v>
      </c>
      <c r="P102" s="15">
        <v>90.185256581207142</v>
      </c>
      <c r="Q102" s="15">
        <v>16.695819855150816</v>
      </c>
      <c r="R102" s="15">
        <v>58.644189289575635</v>
      </c>
      <c r="S102" s="15">
        <v>80.556094741925918</v>
      </c>
      <c r="T102" s="15">
        <v>74.74244106753865</v>
      </c>
      <c r="U102" s="15">
        <v>42.190529427802247</v>
      </c>
      <c r="V102" s="15">
        <v>4.6809197895875343</v>
      </c>
      <c r="W102" s="15">
        <v>83.07532372844986</v>
      </c>
      <c r="X102" s="15">
        <v>47.186719481963365</v>
      </c>
      <c r="Y102" s="15">
        <v>52.41033941313863</v>
      </c>
      <c r="Z102" s="15">
        <v>7.5620009249647291</v>
      </c>
      <c r="AA102" s="15">
        <v>21.424502592261675</v>
      </c>
      <c r="AB102" s="15">
        <v>68.42276117131496</v>
      </c>
      <c r="AC102" s="15">
        <v>10.038732342658863</v>
      </c>
      <c r="AD102" s="15">
        <v>21.860461251580809</v>
      </c>
      <c r="AE102" s="15">
        <v>48.969574380814187</v>
      </c>
      <c r="AF102" s="15">
        <v>24.183595730588724</v>
      </c>
      <c r="AG102" s="15">
        <v>85.642464946281976</v>
      </c>
      <c r="AH102" s="15">
        <v>76.672350420878558</v>
      </c>
      <c r="AI102" s="15">
        <v>12.643892627499753</v>
      </c>
      <c r="AJ102" s="15">
        <v>2.5729374852409337</v>
      </c>
      <c r="AK102" s="15">
        <v>78.449931227261942</v>
      </c>
      <c r="AL102" s="15">
        <v>0.96030594437294114</v>
      </c>
      <c r="AM102" s="15">
        <v>6.741445289052395</v>
      </c>
      <c r="AN102" s="15">
        <v>77.605166796543216</v>
      </c>
      <c r="AO102" s="15">
        <v>36.725227147880943</v>
      </c>
      <c r="AP102" s="15">
        <v>97.124153290589547</v>
      </c>
      <c r="AQ102" s="15">
        <v>12.590292328334529</v>
      </c>
      <c r="AR102" s="15">
        <v>51.042165496383021</v>
      </c>
      <c r="AS102" s="15">
        <v>86.411098345615429</v>
      </c>
      <c r="AT102" s="15">
        <v>27.558964157341549</v>
      </c>
      <c r="AU102" s="15">
        <v>99.640617219729194</v>
      </c>
      <c r="AV102" s="15">
        <v>98.732384319706597</v>
      </c>
      <c r="AW102" s="15">
        <v>77.925765113879976</v>
      </c>
      <c r="AX102" s="15">
        <v>38.267086093360092</v>
      </c>
      <c r="AY102" s="15">
        <v>66.767534978484932</v>
      </c>
      <c r="AZ102" s="15">
        <v>4.8816297201747405</v>
      </c>
      <c r="BA102" s="15">
        <v>94.473925867749671</v>
      </c>
      <c r="BB102" s="15">
        <v>45.299788116104764</v>
      </c>
      <c r="BC102" s="15">
        <v>33.70670591841666</v>
      </c>
      <c r="BD102" s="15">
        <v>81.141692427312535</v>
      </c>
    </row>
    <row r="103" spans="1:56" x14ac:dyDescent="0.3">
      <c r="A103" s="18">
        <v>2015</v>
      </c>
      <c r="B103" s="6" t="s">
        <v>102</v>
      </c>
      <c r="C103" s="6" t="str">
        <f t="shared" si="6"/>
        <v>WI</v>
      </c>
      <c r="D103" s="6" t="str">
        <f t="shared" si="7"/>
        <v>威斯康辛州</v>
      </c>
      <c r="E103" s="14">
        <v>61.602935165766851</v>
      </c>
      <c r="F103" s="14">
        <v>83.563308041034816</v>
      </c>
      <c r="G103" s="14">
        <v>53.602894890961615</v>
      </c>
      <c r="H103" s="14">
        <v>52.783861380672334</v>
      </c>
      <c r="I103" s="14">
        <v>1.6665329034864285</v>
      </c>
      <c r="J103" s="14">
        <v>62.802309397382459</v>
      </c>
      <c r="K103" s="14">
        <v>98.747933280183531</v>
      </c>
      <c r="L103" s="14">
        <v>41.667552724390276</v>
      </c>
      <c r="M103" s="14">
        <v>49.439183306952451</v>
      </c>
      <c r="N103" s="14">
        <v>91.214866436759394</v>
      </c>
      <c r="O103" s="14">
        <v>78.616382959777582</v>
      </c>
      <c r="P103" s="14">
        <v>29.712443388385125</v>
      </c>
      <c r="Q103" s="14">
        <v>80.570885426799194</v>
      </c>
      <c r="R103" s="14">
        <v>18.297674254468312</v>
      </c>
      <c r="S103" s="14">
        <v>31.042345667292537</v>
      </c>
      <c r="T103" s="14">
        <v>39.861279993213053</v>
      </c>
      <c r="U103" s="14">
        <v>54.187434678238709</v>
      </c>
      <c r="V103" s="14">
        <v>44.587665460764612</v>
      </c>
      <c r="W103" s="14">
        <v>17.018092477905988</v>
      </c>
      <c r="X103" s="14">
        <v>6.2012005265343895E-2</v>
      </c>
      <c r="Y103" s="14">
        <v>4.5579169928845031</v>
      </c>
      <c r="Z103" s="14">
        <v>77.991902651753719</v>
      </c>
      <c r="AA103" s="14">
        <v>92.549212119468592</v>
      </c>
      <c r="AB103" s="14">
        <v>60.559421468544507</v>
      </c>
      <c r="AC103" s="14">
        <v>17.727546328885424</v>
      </c>
      <c r="AD103" s="14">
        <v>60.228369106457457</v>
      </c>
      <c r="AE103" s="14">
        <v>52.040610522394495</v>
      </c>
      <c r="AF103" s="14">
        <v>50.494892475801677</v>
      </c>
      <c r="AG103" s="14">
        <v>14.326224896834439</v>
      </c>
      <c r="AH103" s="14">
        <v>64.099860459362844</v>
      </c>
      <c r="AI103" s="14">
        <v>29.568579457050916</v>
      </c>
      <c r="AJ103" s="14">
        <v>29.016577600912196</v>
      </c>
      <c r="AK103" s="14">
        <v>43.58710911337932</v>
      </c>
      <c r="AL103" s="14">
        <v>72.316089011141187</v>
      </c>
      <c r="AM103" s="14">
        <v>4.8234499233232082</v>
      </c>
      <c r="AN103" s="14">
        <v>82.803244064986274</v>
      </c>
      <c r="AO103" s="14">
        <v>31.02238579199793</v>
      </c>
      <c r="AP103" s="14">
        <v>21.010825035004142</v>
      </c>
      <c r="AQ103" s="14">
        <v>78.608651131220057</v>
      </c>
      <c r="AR103" s="14">
        <v>33.950810331739447</v>
      </c>
      <c r="AS103" s="14">
        <v>54.819188988705733</v>
      </c>
      <c r="AT103" s="14">
        <v>70.808470662738188</v>
      </c>
      <c r="AU103" s="14">
        <v>78.704318099094849</v>
      </c>
      <c r="AV103" s="14">
        <v>25.88115551669684</v>
      </c>
      <c r="AW103" s="14">
        <v>73.365780294048392</v>
      </c>
      <c r="AX103" s="14">
        <v>82.655712259791486</v>
      </c>
      <c r="AY103" s="14">
        <v>67.509581675728214</v>
      </c>
      <c r="AZ103" s="14">
        <v>40.58491611170296</v>
      </c>
      <c r="BA103" s="14">
        <v>69.882526459523859</v>
      </c>
      <c r="BB103" s="14">
        <v>34.416298044833525</v>
      </c>
      <c r="BC103" s="14">
        <v>48.904064330730471</v>
      </c>
      <c r="BD103" s="14">
        <v>2.4285258210520078</v>
      </c>
    </row>
    <row r="104" spans="1:56" x14ac:dyDescent="0.3">
      <c r="A104" s="19">
        <v>2015</v>
      </c>
      <c r="B104" s="8" t="s">
        <v>104</v>
      </c>
      <c r="C104" s="8" t="str">
        <f t="shared" si="6"/>
        <v>WY</v>
      </c>
      <c r="D104" s="8" t="str">
        <f t="shared" si="7"/>
        <v>怀俄明</v>
      </c>
      <c r="E104" s="15">
        <v>13.821718722495335</v>
      </c>
      <c r="F104" s="15">
        <v>62.52627443293477</v>
      </c>
      <c r="G104" s="15">
        <v>55.058481258760651</v>
      </c>
      <c r="H104" s="15">
        <v>62.844860832748765</v>
      </c>
      <c r="I104" s="15">
        <v>94.230629501069956</v>
      </c>
      <c r="J104" s="15">
        <v>44.780873133489038</v>
      </c>
      <c r="K104" s="15">
        <v>7.7425600388366096</v>
      </c>
      <c r="L104" s="15">
        <v>76.409473967009362</v>
      </c>
      <c r="M104" s="15">
        <v>74.739623275159772</v>
      </c>
      <c r="N104" s="15">
        <v>71.457755736868052</v>
      </c>
      <c r="O104" s="15">
        <v>22.038005284817707</v>
      </c>
      <c r="P104" s="15">
        <v>90.724880128419827</v>
      </c>
      <c r="Q104" s="15">
        <v>9.1323210235607419</v>
      </c>
      <c r="R104" s="15">
        <v>77.517272171861606</v>
      </c>
      <c r="S104" s="15">
        <v>47.680293535026209</v>
      </c>
      <c r="T104" s="15">
        <v>74.855373759236102</v>
      </c>
      <c r="U104" s="15">
        <v>44.132875542379921</v>
      </c>
      <c r="V104" s="15">
        <v>85.254629791771166</v>
      </c>
      <c r="W104" s="15">
        <v>15.986955350834631</v>
      </c>
      <c r="X104" s="15">
        <v>32.97156585261353</v>
      </c>
      <c r="Y104" s="15">
        <v>44.967691592914619</v>
      </c>
      <c r="Z104" s="15">
        <v>69.115908044495512</v>
      </c>
      <c r="AA104" s="15">
        <v>37.624418911451777</v>
      </c>
      <c r="AB104" s="15">
        <v>60.49447486566325</v>
      </c>
      <c r="AC104" s="15">
        <v>0.68856512025343708</v>
      </c>
      <c r="AD104" s="15">
        <v>66.734997216332587</v>
      </c>
      <c r="AE104" s="15">
        <v>32.010368475944432</v>
      </c>
      <c r="AF104" s="15">
        <v>77.943707864645233</v>
      </c>
      <c r="AG104" s="15">
        <v>10.174382973796913</v>
      </c>
      <c r="AH104" s="15">
        <v>3.9417154528265108</v>
      </c>
      <c r="AI104" s="15">
        <v>50.151263986201634</v>
      </c>
      <c r="AJ104" s="15">
        <v>60.945595406728849</v>
      </c>
      <c r="AK104" s="15">
        <v>23.875672867537133</v>
      </c>
      <c r="AL104" s="15">
        <v>75.075290567380534</v>
      </c>
      <c r="AM104" s="15">
        <v>75.231834063381243</v>
      </c>
      <c r="AN104" s="15">
        <v>99.73040873159222</v>
      </c>
      <c r="AO104" s="15">
        <v>83.745761984253249</v>
      </c>
      <c r="AP104" s="15">
        <v>24.392140538808615</v>
      </c>
      <c r="AQ104" s="15">
        <v>1.5373900672210783</v>
      </c>
      <c r="AR104" s="15">
        <v>10.443023648853099</v>
      </c>
      <c r="AS104" s="15">
        <v>56.660448229425683</v>
      </c>
      <c r="AT104" s="15">
        <v>66.687168791894607</v>
      </c>
      <c r="AU104" s="15">
        <v>9.9035553351037198</v>
      </c>
      <c r="AV104" s="15">
        <v>65.839757874629711</v>
      </c>
      <c r="AW104" s="15">
        <v>84.732647194544313</v>
      </c>
      <c r="AX104" s="15">
        <v>79.233341831110437</v>
      </c>
      <c r="AY104" s="15">
        <v>67.501910833355723</v>
      </c>
      <c r="AZ104" s="15">
        <v>7.1506305455587116</v>
      </c>
      <c r="BA104" s="15">
        <v>82.730204062704487</v>
      </c>
      <c r="BB104" s="15">
        <v>58.138246255565875</v>
      </c>
      <c r="BC104" s="15">
        <v>28.391034945626757</v>
      </c>
      <c r="BD104" s="15">
        <v>48.201042594027086</v>
      </c>
    </row>
    <row r="105" spans="1:56" x14ac:dyDescent="0.3">
      <c r="A105" s="18">
        <v>2015</v>
      </c>
      <c r="B105" s="6" t="s">
        <v>80</v>
      </c>
      <c r="C105" s="6" t="str">
        <f t="shared" si="6"/>
        <v>PR</v>
      </c>
      <c r="D105" s="6" t="str">
        <f t="shared" si="7"/>
        <v>波多黎各</v>
      </c>
      <c r="E105" s="14">
        <v>75.814881371446205</v>
      </c>
      <c r="F105" s="14">
        <v>5.3174435272290044</v>
      </c>
      <c r="G105" s="14">
        <v>98.957999785329093</v>
      </c>
      <c r="H105" s="14">
        <v>46.789487035263278</v>
      </c>
      <c r="I105" s="14">
        <v>37.844500318634729</v>
      </c>
      <c r="J105" s="14">
        <v>93.07559514339529</v>
      </c>
      <c r="K105" s="14">
        <v>1.6126503551904703</v>
      </c>
      <c r="L105" s="14">
        <v>62.767386362270209</v>
      </c>
      <c r="M105" s="14">
        <v>2.1219650531538625</v>
      </c>
      <c r="N105" s="14">
        <v>57.583106949831155</v>
      </c>
      <c r="O105" s="14">
        <v>52.252378056779278</v>
      </c>
      <c r="P105" s="14">
        <v>44.439822942650473</v>
      </c>
      <c r="Q105" s="14">
        <v>63.089512534473066</v>
      </c>
      <c r="R105" s="14">
        <v>52.070413042510189</v>
      </c>
      <c r="S105" s="14">
        <v>4.4722107419043038</v>
      </c>
      <c r="T105" s="14">
        <v>10.71947713327056</v>
      </c>
      <c r="U105" s="14">
        <v>17.66199404351244</v>
      </c>
      <c r="V105" s="14">
        <v>53.447823692614158</v>
      </c>
      <c r="W105" s="14">
        <v>41.509618179385022</v>
      </c>
      <c r="X105" s="14">
        <v>91.269056391790869</v>
      </c>
      <c r="Y105" s="14">
        <v>50.616986048040488</v>
      </c>
      <c r="Z105" s="14">
        <v>57.162163945999346</v>
      </c>
      <c r="AA105" s="14">
        <v>47.100230523282619</v>
      </c>
      <c r="AB105" s="14">
        <v>24.627374666416912</v>
      </c>
      <c r="AC105" s="14">
        <v>7.0336915420764923</v>
      </c>
      <c r="AD105" s="14">
        <v>27.690850505608246</v>
      </c>
      <c r="AE105" s="14">
        <v>32.81322766588994</v>
      </c>
      <c r="AF105" s="14">
        <v>5.9275465754325403</v>
      </c>
      <c r="AG105" s="14">
        <v>11.131394358022817</v>
      </c>
      <c r="AH105" s="14">
        <v>76.191507585520768</v>
      </c>
      <c r="AI105" s="14">
        <v>14.374010390136627</v>
      </c>
      <c r="AJ105" s="14">
        <v>33.482713231902238</v>
      </c>
      <c r="AK105" s="14">
        <v>3.1663550026828524</v>
      </c>
      <c r="AL105" s="14">
        <v>32.14750169631143</v>
      </c>
      <c r="AM105" s="14">
        <v>2.8806287393313146</v>
      </c>
      <c r="AN105" s="14">
        <v>43.50320422683113</v>
      </c>
      <c r="AO105" s="14">
        <v>12.702894510192275</v>
      </c>
      <c r="AP105" s="14">
        <v>60.032554390376077</v>
      </c>
      <c r="AQ105" s="14">
        <v>89.985276664354643</v>
      </c>
      <c r="AR105" s="14">
        <v>49.966882579455977</v>
      </c>
      <c r="AS105" s="14">
        <v>27.964096833911899</v>
      </c>
      <c r="AT105" s="14">
        <v>45.73543617912734</v>
      </c>
      <c r="AU105" s="14">
        <v>70.456101504011343</v>
      </c>
      <c r="AV105" s="14">
        <v>14.455065953124747</v>
      </c>
      <c r="AW105" s="14">
        <v>54.975289058755763</v>
      </c>
      <c r="AX105" s="14">
        <v>42.206466941521761</v>
      </c>
      <c r="AY105" s="14">
        <v>26.836249283692972</v>
      </c>
      <c r="AZ105" s="14">
        <v>26.757241311046787</v>
      </c>
      <c r="BA105" s="14">
        <v>68.946077253747347</v>
      </c>
      <c r="BB105" s="14">
        <v>49.289088634549728</v>
      </c>
      <c r="BC105" s="14">
        <v>28.73309092279208</v>
      </c>
      <c r="BD105" s="14">
        <v>54.464605246336539</v>
      </c>
    </row>
    <row r="106" spans="1:56" x14ac:dyDescent="0.3">
      <c r="A106" s="19">
        <v>2016</v>
      </c>
      <c r="B106" s="8" t="s">
        <v>2</v>
      </c>
      <c r="C106" s="8" t="str">
        <f t="shared" si="6"/>
        <v>AL</v>
      </c>
      <c r="D106" s="8" t="str">
        <f t="shared" si="7"/>
        <v>阿拉巴马州</v>
      </c>
      <c r="E106" s="15">
        <v>19.951786852445242</v>
      </c>
      <c r="F106" s="15">
        <v>22.206915151400729</v>
      </c>
      <c r="G106" s="15">
        <v>69.861519913751494</v>
      </c>
      <c r="H106" s="15">
        <v>8.9220696842754794</v>
      </c>
      <c r="I106" s="15">
        <v>53.973095970625842</v>
      </c>
      <c r="J106" s="15">
        <v>89.9376301390664</v>
      </c>
      <c r="K106" s="15">
        <v>5.2006080240959207</v>
      </c>
      <c r="L106" s="15">
        <v>45.244729696933796</v>
      </c>
      <c r="M106" s="15">
        <v>12.566158212945922</v>
      </c>
      <c r="N106" s="15">
        <v>2.6390234057797168</v>
      </c>
      <c r="O106" s="15">
        <v>95.986408674329653</v>
      </c>
      <c r="P106" s="15">
        <v>49.556802972729784</v>
      </c>
      <c r="Q106" s="15">
        <v>75.236450833276592</v>
      </c>
      <c r="R106" s="15">
        <v>78.686439063421176</v>
      </c>
      <c r="S106" s="15">
        <v>0.1733785867243709</v>
      </c>
      <c r="T106" s="15">
        <v>75.932603209743817</v>
      </c>
      <c r="U106" s="15">
        <v>70.588681367173052</v>
      </c>
      <c r="V106" s="15">
        <v>16.144593331053414</v>
      </c>
      <c r="W106" s="15">
        <v>42.048778580021832</v>
      </c>
      <c r="X106" s="15">
        <v>19.801882129278393</v>
      </c>
      <c r="Y106" s="15">
        <v>27.612423331826808</v>
      </c>
      <c r="Z106" s="15">
        <v>34.876687278191469</v>
      </c>
      <c r="AA106" s="15">
        <v>39.711853407883304</v>
      </c>
      <c r="AB106" s="15">
        <v>86.442460788079501</v>
      </c>
      <c r="AC106" s="15">
        <v>55.64146284509134</v>
      </c>
      <c r="AD106" s="15">
        <v>58.750979432638061</v>
      </c>
      <c r="AE106" s="15">
        <v>56.045493179924087</v>
      </c>
      <c r="AF106" s="15">
        <v>68.112000739861173</v>
      </c>
      <c r="AG106" s="15">
        <v>25.920497098617744</v>
      </c>
      <c r="AH106" s="15">
        <v>80.804403213815192</v>
      </c>
      <c r="AI106" s="15">
        <v>76.098735803797396</v>
      </c>
      <c r="AJ106" s="15">
        <v>82.746791066074948</v>
      </c>
      <c r="AK106" s="15">
        <v>43.005127124299406</v>
      </c>
      <c r="AL106" s="15">
        <v>94.406322144136396</v>
      </c>
      <c r="AM106" s="15">
        <v>48.07171262957084</v>
      </c>
      <c r="AN106" s="15">
        <v>68.670810628395643</v>
      </c>
      <c r="AO106" s="15">
        <v>47.124739473526944</v>
      </c>
      <c r="AP106" s="15">
        <v>26.95925168436699</v>
      </c>
      <c r="AQ106" s="15">
        <v>20.208926539916149</v>
      </c>
      <c r="AR106" s="15">
        <v>61.193685831839105</v>
      </c>
      <c r="AS106" s="15">
        <v>37.524421187278712</v>
      </c>
      <c r="AT106" s="15">
        <v>69.979582578055982</v>
      </c>
      <c r="AU106" s="15">
        <v>61.710365330454486</v>
      </c>
      <c r="AV106" s="15">
        <v>31.944957267832486</v>
      </c>
      <c r="AW106" s="15">
        <v>55.22779652557449</v>
      </c>
      <c r="AX106" s="15">
        <v>22.910918582310046</v>
      </c>
      <c r="AY106" s="15">
        <v>89.08029980245054</v>
      </c>
      <c r="AZ106" s="15">
        <v>2.6385222694273014</v>
      </c>
      <c r="BA106" s="15">
        <v>77.843433109670684</v>
      </c>
      <c r="BB106" s="15">
        <v>11.840162436460556</v>
      </c>
      <c r="BC106" s="15">
        <v>51.905260035975843</v>
      </c>
      <c r="BD106" s="15">
        <v>56.293654313966456</v>
      </c>
    </row>
    <row r="107" spans="1:56" x14ac:dyDescent="0.3">
      <c r="A107" s="18">
        <v>2016</v>
      </c>
      <c r="B107" s="6" t="s">
        <v>4</v>
      </c>
      <c r="C107" s="6" t="str">
        <f t="shared" si="6"/>
        <v>AK</v>
      </c>
      <c r="D107" s="6" t="str">
        <f t="shared" si="7"/>
        <v>阿拉斯加</v>
      </c>
      <c r="E107" s="14">
        <v>28.728775478272915</v>
      </c>
      <c r="F107" s="14">
        <v>19.867098067447607</v>
      </c>
      <c r="G107" s="14">
        <v>28.032022726578422</v>
      </c>
      <c r="H107" s="14">
        <v>25.676378461915917</v>
      </c>
      <c r="I107" s="14">
        <v>76.112384614238408</v>
      </c>
      <c r="J107" s="14">
        <v>13.295297824021969</v>
      </c>
      <c r="K107" s="14">
        <v>40.009290167351949</v>
      </c>
      <c r="L107" s="14">
        <v>72.417208381256401</v>
      </c>
      <c r="M107" s="14">
        <v>6.6119008483797153</v>
      </c>
      <c r="N107" s="14">
        <v>82.389552258818682</v>
      </c>
      <c r="O107" s="14">
        <v>4.594345215419704</v>
      </c>
      <c r="P107" s="14">
        <v>69.090756713504149</v>
      </c>
      <c r="Q107" s="14">
        <v>10.281674920833773</v>
      </c>
      <c r="R107" s="14">
        <v>50.818916662185529</v>
      </c>
      <c r="S107" s="14">
        <v>43.901480958715325</v>
      </c>
      <c r="T107" s="14">
        <v>30.480158969634186</v>
      </c>
      <c r="U107" s="14">
        <v>4.4472058196376452E-2</v>
      </c>
      <c r="V107" s="14">
        <v>60.383377548463137</v>
      </c>
      <c r="W107" s="14">
        <v>65.682446852338629</v>
      </c>
      <c r="X107" s="14">
        <v>99.715516510205589</v>
      </c>
      <c r="Y107" s="14">
        <v>55.293599296194039</v>
      </c>
      <c r="Z107" s="14">
        <v>53.848516020212969</v>
      </c>
      <c r="AA107" s="14">
        <v>24.33847118513749</v>
      </c>
      <c r="AB107" s="14">
        <v>60.456858765383956</v>
      </c>
      <c r="AC107" s="14">
        <v>30.966742861800679</v>
      </c>
      <c r="AD107" s="14">
        <v>56.205969674820764</v>
      </c>
      <c r="AE107" s="14">
        <v>22.001934981333481</v>
      </c>
      <c r="AF107" s="14">
        <v>53.691581435606217</v>
      </c>
      <c r="AG107" s="14">
        <v>35.308034763819599</v>
      </c>
      <c r="AH107" s="14">
        <v>48.90869825061953</v>
      </c>
      <c r="AI107" s="14">
        <v>3.7220646071753349</v>
      </c>
      <c r="AJ107" s="14">
        <v>7.7694699067419437</v>
      </c>
      <c r="AK107" s="14">
        <v>14.887101177859229</v>
      </c>
      <c r="AL107" s="14">
        <v>37.397496021166255</v>
      </c>
      <c r="AM107" s="14">
        <v>69.316676527722663</v>
      </c>
      <c r="AN107" s="14">
        <v>56.485916422103074</v>
      </c>
      <c r="AO107" s="14">
        <v>79.545917512089375</v>
      </c>
      <c r="AP107" s="14">
        <v>12.627067958266913</v>
      </c>
      <c r="AQ107" s="14">
        <v>96.317348726456856</v>
      </c>
      <c r="AR107" s="14">
        <v>38.828166785747023</v>
      </c>
      <c r="AS107" s="14">
        <v>18.033842774313236</v>
      </c>
      <c r="AT107" s="14">
        <v>44.605681182037834</v>
      </c>
      <c r="AU107" s="14">
        <v>19.614979389986686</v>
      </c>
      <c r="AV107" s="14">
        <v>91.821440535976777</v>
      </c>
      <c r="AW107" s="14">
        <v>19.835147004911402</v>
      </c>
      <c r="AX107" s="14">
        <v>51.513393476991141</v>
      </c>
      <c r="AY107" s="14">
        <v>60.724532935275754</v>
      </c>
      <c r="AZ107" s="14">
        <v>62.748446812581982</v>
      </c>
      <c r="BA107" s="14">
        <v>0.49150684069751982</v>
      </c>
      <c r="BB107" s="14">
        <v>48.293188249583949</v>
      </c>
      <c r="BC107" s="14">
        <v>69.141527075320269</v>
      </c>
      <c r="BD107" s="14">
        <v>35.698469729355807</v>
      </c>
    </row>
    <row r="108" spans="1:56" x14ac:dyDescent="0.3">
      <c r="A108" s="19">
        <v>2016</v>
      </c>
      <c r="B108" s="8" t="s">
        <v>6</v>
      </c>
      <c r="C108" s="8" t="str">
        <f t="shared" si="6"/>
        <v>AZ</v>
      </c>
      <c r="D108" s="8" t="str">
        <f t="shared" si="7"/>
        <v>亚利桑那州</v>
      </c>
      <c r="E108" s="15">
        <v>51.419250911470307</v>
      </c>
      <c r="F108" s="15">
        <v>74.876857599223698</v>
      </c>
      <c r="G108" s="15">
        <v>84.18359142850403</v>
      </c>
      <c r="H108" s="15">
        <v>71.260117579051283</v>
      </c>
      <c r="I108" s="15">
        <v>7.5288836066534248</v>
      </c>
      <c r="J108" s="15">
        <v>33.665893722184961</v>
      </c>
      <c r="K108" s="15">
        <v>13.435478236986464</v>
      </c>
      <c r="L108" s="15">
        <v>98.840539093686658</v>
      </c>
      <c r="M108" s="15">
        <v>68.745666440111648</v>
      </c>
      <c r="N108" s="15">
        <v>79.553904879038228</v>
      </c>
      <c r="O108" s="15">
        <v>35.183912994932989</v>
      </c>
      <c r="P108" s="15">
        <v>37.414426239175839</v>
      </c>
      <c r="Q108" s="15">
        <v>59.393080418215185</v>
      </c>
      <c r="R108" s="15">
        <v>64.665802116909276</v>
      </c>
      <c r="S108" s="15">
        <v>44.27457464645903</v>
      </c>
      <c r="T108" s="15">
        <v>97.354283921843106</v>
      </c>
      <c r="U108" s="15">
        <v>17.283047321051548</v>
      </c>
      <c r="V108" s="15">
        <v>56.813138562461042</v>
      </c>
      <c r="W108" s="15">
        <v>63.904159544436965</v>
      </c>
      <c r="X108" s="15">
        <v>24.918605078203061</v>
      </c>
      <c r="Y108" s="15">
        <v>36.66529431380026</v>
      </c>
      <c r="Z108" s="15">
        <v>3.4247953693744004</v>
      </c>
      <c r="AA108" s="15">
        <v>70.019840631130236</v>
      </c>
      <c r="AB108" s="15">
        <v>89.964818280316621</v>
      </c>
      <c r="AC108" s="15">
        <v>9.3835268296274634</v>
      </c>
      <c r="AD108" s="15">
        <v>51.746803617611917</v>
      </c>
      <c r="AE108" s="15">
        <v>53.887829227532791</v>
      </c>
      <c r="AF108" s="15">
        <v>70.626113401798861</v>
      </c>
      <c r="AG108" s="15">
        <v>79.627169993006035</v>
      </c>
      <c r="AH108" s="15">
        <v>48.654169999521656</v>
      </c>
      <c r="AI108" s="15">
        <v>52.289791691216067</v>
      </c>
      <c r="AJ108" s="15">
        <v>44.17061212245487</v>
      </c>
      <c r="AK108" s="15">
        <v>69.330637010278338</v>
      </c>
      <c r="AL108" s="15">
        <v>0.83733171971021036</v>
      </c>
      <c r="AM108" s="15">
        <v>32.816717741715742</v>
      </c>
      <c r="AN108" s="15">
        <v>12.267737602699412</v>
      </c>
      <c r="AO108" s="15">
        <v>8.7217909208455744</v>
      </c>
      <c r="AP108" s="15">
        <v>55.694013305842219</v>
      </c>
      <c r="AQ108" s="15">
        <v>63.889540772752987</v>
      </c>
      <c r="AR108" s="15">
        <v>47.696109495398964</v>
      </c>
      <c r="AS108" s="15">
        <v>34.264830488282115</v>
      </c>
      <c r="AT108" s="15">
        <v>63.409506850961748</v>
      </c>
      <c r="AU108" s="15">
        <v>24.248837970479787</v>
      </c>
      <c r="AV108" s="15">
        <v>88.975273676347229</v>
      </c>
      <c r="AW108" s="15">
        <v>69.896887676077029</v>
      </c>
      <c r="AX108" s="15">
        <v>52.467259619566505</v>
      </c>
      <c r="AY108" s="15">
        <v>93.646248338302371</v>
      </c>
      <c r="AZ108" s="15">
        <v>37.770157736620227</v>
      </c>
      <c r="BA108" s="15">
        <v>16.137566728277363</v>
      </c>
      <c r="BB108" s="15">
        <v>11.374182551728108</v>
      </c>
      <c r="BC108" s="15">
        <v>37.374190143747718</v>
      </c>
      <c r="BD108" s="15">
        <v>46.91507636239951</v>
      </c>
    </row>
    <row r="109" spans="1:56" x14ac:dyDescent="0.3">
      <c r="A109" s="18">
        <v>2016</v>
      </c>
      <c r="B109" s="6" t="s">
        <v>8</v>
      </c>
      <c r="C109" s="6" t="str">
        <f t="shared" si="6"/>
        <v>AR</v>
      </c>
      <c r="D109" s="6" t="str">
        <f t="shared" si="7"/>
        <v>阿肯色州</v>
      </c>
      <c r="E109" s="14">
        <v>42.188905861781258</v>
      </c>
      <c r="F109" s="14">
        <v>28.956122888931603</v>
      </c>
      <c r="G109" s="14">
        <v>57.522001845329193</v>
      </c>
      <c r="H109" s="14">
        <v>96.590159477741153</v>
      </c>
      <c r="I109" s="14">
        <v>25.712977124892731</v>
      </c>
      <c r="J109" s="14">
        <v>97.643122220408856</v>
      </c>
      <c r="K109" s="14">
        <v>86.787930123689392</v>
      </c>
      <c r="L109" s="14">
        <v>31.759093160120212</v>
      </c>
      <c r="M109" s="14">
        <v>18.56976998288664</v>
      </c>
      <c r="N109" s="14">
        <v>39.933702798960837</v>
      </c>
      <c r="O109" s="14">
        <v>1.7014028505225043</v>
      </c>
      <c r="P109" s="14">
        <v>22.498625490433032</v>
      </c>
      <c r="Q109" s="14">
        <v>76.070433012034385</v>
      </c>
      <c r="R109" s="14">
        <v>1.8228970940659117E-2</v>
      </c>
      <c r="S109" s="14">
        <v>63.774156234282344</v>
      </c>
      <c r="T109" s="14">
        <v>96.857918418514004</v>
      </c>
      <c r="U109" s="14">
        <v>30.853268164884572</v>
      </c>
      <c r="V109" s="14">
        <v>74.004885405049862</v>
      </c>
      <c r="W109" s="14">
        <v>43.059737505467666</v>
      </c>
      <c r="X109" s="14">
        <v>30.852956326507542</v>
      </c>
      <c r="Y109" s="14">
        <v>16.31544746093072</v>
      </c>
      <c r="Z109" s="14">
        <v>70.176610771195286</v>
      </c>
      <c r="AA109" s="14">
        <v>95.937575760473976</v>
      </c>
      <c r="AB109" s="14">
        <v>52.909644048021541</v>
      </c>
      <c r="AC109" s="14">
        <v>38.815351548860264</v>
      </c>
      <c r="AD109" s="14">
        <v>6.6145631694097045</v>
      </c>
      <c r="AE109" s="14">
        <v>87.126325525254046</v>
      </c>
      <c r="AF109" s="14">
        <v>6.1142509018933584</v>
      </c>
      <c r="AG109" s="14">
        <v>24.333919886683432</v>
      </c>
      <c r="AH109" s="14">
        <v>91.228808832004972</v>
      </c>
      <c r="AI109" s="14">
        <v>98.095114877347598</v>
      </c>
      <c r="AJ109" s="14">
        <v>78.220435851746288</v>
      </c>
      <c r="AK109" s="14">
        <v>70.587845322142002</v>
      </c>
      <c r="AL109" s="14">
        <v>23.626526524251503</v>
      </c>
      <c r="AM109" s="14">
        <v>39.102094874864378</v>
      </c>
      <c r="AN109" s="14">
        <v>17.071434640791004</v>
      </c>
      <c r="AO109" s="14">
        <v>12.837784898230908</v>
      </c>
      <c r="AP109" s="14">
        <v>7.4560509447813779</v>
      </c>
      <c r="AQ109" s="14">
        <v>70.260681061659909</v>
      </c>
      <c r="AR109" s="14">
        <v>82.802641575886014</v>
      </c>
      <c r="AS109" s="14">
        <v>52.213625708655641</v>
      </c>
      <c r="AT109" s="14">
        <v>16.084602859213682</v>
      </c>
      <c r="AU109" s="14">
        <v>60.080572150047082</v>
      </c>
      <c r="AV109" s="14">
        <v>21.048644578849085</v>
      </c>
      <c r="AW109" s="14">
        <v>89.27929304942387</v>
      </c>
      <c r="AX109" s="14">
        <v>2.8032136861427914</v>
      </c>
      <c r="AY109" s="14">
        <v>7.2858925644158639</v>
      </c>
      <c r="AZ109" s="14">
        <v>39.424138542955525</v>
      </c>
      <c r="BA109" s="14">
        <v>57.486218317026037</v>
      </c>
      <c r="BB109" s="14">
        <v>75.812014056683807</v>
      </c>
      <c r="BC109" s="14">
        <v>38.481887796920532</v>
      </c>
      <c r="BD109" s="14">
        <v>18.849154283143555</v>
      </c>
    </row>
    <row r="110" spans="1:56" x14ac:dyDescent="0.3">
      <c r="A110" s="19">
        <v>2016</v>
      </c>
      <c r="B110" s="8" t="s">
        <v>10</v>
      </c>
      <c r="C110" s="8" t="str">
        <f t="shared" si="6"/>
        <v>CA</v>
      </c>
      <c r="D110" s="8" t="str">
        <f t="shared" si="7"/>
        <v>加州</v>
      </c>
      <c r="E110" s="15">
        <v>53.140915715202539</v>
      </c>
      <c r="F110" s="15">
        <v>51.21761199773298</v>
      </c>
      <c r="G110" s="15">
        <v>30.482921283850175</v>
      </c>
      <c r="H110" s="15">
        <v>90.124285655872498</v>
      </c>
      <c r="I110" s="15">
        <v>13.225575191786199</v>
      </c>
      <c r="J110" s="15">
        <v>12.319224136901607</v>
      </c>
      <c r="K110" s="15">
        <v>88.519517397049469</v>
      </c>
      <c r="L110" s="15">
        <v>18.652240242157735</v>
      </c>
      <c r="M110" s="15">
        <v>0.309999745576095</v>
      </c>
      <c r="N110" s="15">
        <v>73.711170585449864</v>
      </c>
      <c r="O110" s="15">
        <v>70.113197707854539</v>
      </c>
      <c r="P110" s="15">
        <v>84.55835628335781</v>
      </c>
      <c r="Q110" s="15">
        <v>14.940503000684103</v>
      </c>
      <c r="R110" s="15">
        <v>23.904122438244848</v>
      </c>
      <c r="S110" s="15">
        <v>54.180774281676271</v>
      </c>
      <c r="T110" s="15">
        <v>98.379325541558714</v>
      </c>
      <c r="U110" s="15">
        <v>98.764241190759634</v>
      </c>
      <c r="V110" s="15">
        <v>42.199555406899947</v>
      </c>
      <c r="W110" s="15">
        <v>34.304154780110387</v>
      </c>
      <c r="X110" s="15">
        <v>12.303469268895972</v>
      </c>
      <c r="Y110" s="15">
        <v>86.604794983577634</v>
      </c>
      <c r="Z110" s="15">
        <v>4.6933488425354835</v>
      </c>
      <c r="AA110" s="15">
        <v>13.894355140946201</v>
      </c>
      <c r="AB110" s="15">
        <v>37.25110829473973</v>
      </c>
      <c r="AC110" s="15">
        <v>3.6496317439554726</v>
      </c>
      <c r="AD110" s="15">
        <v>52.464322211664971</v>
      </c>
      <c r="AE110" s="15">
        <v>55.856803900560251</v>
      </c>
      <c r="AF110" s="15">
        <v>29.197256253237303</v>
      </c>
      <c r="AG110" s="15">
        <v>47.447922368082892</v>
      </c>
      <c r="AH110" s="15">
        <v>80.157441323737203</v>
      </c>
      <c r="AI110" s="15">
        <v>81.544125380004274</v>
      </c>
      <c r="AJ110" s="15">
        <v>66.130567977498444</v>
      </c>
      <c r="AK110" s="15">
        <v>31.027358830799724</v>
      </c>
      <c r="AL110" s="15">
        <v>93.192386727202603</v>
      </c>
      <c r="AM110" s="15">
        <v>20.111400232403398</v>
      </c>
      <c r="AN110" s="15">
        <v>50.950262390655453</v>
      </c>
      <c r="AO110" s="15">
        <v>79.167432118734695</v>
      </c>
      <c r="AP110" s="15">
        <v>41.82514586209092</v>
      </c>
      <c r="AQ110" s="15">
        <v>54.914430266690019</v>
      </c>
      <c r="AR110" s="15">
        <v>43.429804043305545</v>
      </c>
      <c r="AS110" s="15">
        <v>71.689543471411881</v>
      </c>
      <c r="AT110" s="15">
        <v>67.032611444036021</v>
      </c>
      <c r="AU110" s="15">
        <v>6.5193005556567485</v>
      </c>
      <c r="AV110" s="15">
        <v>49.963505374636583</v>
      </c>
      <c r="AW110" s="15">
        <v>71.987111514615762</v>
      </c>
      <c r="AX110" s="15">
        <v>18.91460321392222</v>
      </c>
      <c r="AY110" s="15">
        <v>17.606339648541379</v>
      </c>
      <c r="AZ110" s="15">
        <v>20.185729302785425</v>
      </c>
      <c r="BA110" s="15">
        <v>99.342168822088468</v>
      </c>
      <c r="BB110" s="15">
        <v>91.770948587423206</v>
      </c>
      <c r="BC110" s="15">
        <v>87.477702212657363</v>
      </c>
      <c r="BD110" s="15">
        <v>6.993329360681166</v>
      </c>
    </row>
    <row r="111" spans="1:56" x14ac:dyDescent="0.3">
      <c r="A111" s="18">
        <v>2016</v>
      </c>
      <c r="B111" s="6" t="s">
        <v>12</v>
      </c>
      <c r="C111" s="6" t="str">
        <f t="shared" si="6"/>
        <v>CO</v>
      </c>
      <c r="D111" s="6" t="str">
        <f t="shared" si="7"/>
        <v>科罗拉多州</v>
      </c>
      <c r="E111" s="14">
        <v>87.496607214932254</v>
      </c>
      <c r="F111" s="14">
        <v>99.667255451467113</v>
      </c>
      <c r="G111" s="14">
        <v>77.92235484757903</v>
      </c>
      <c r="H111" s="14">
        <v>10.870402333371453</v>
      </c>
      <c r="I111" s="14">
        <v>94.63567866172599</v>
      </c>
      <c r="J111" s="14">
        <v>5.9275268021244054</v>
      </c>
      <c r="K111" s="14">
        <v>49.085057386554645</v>
      </c>
      <c r="L111" s="14">
        <v>94.074814408076421</v>
      </c>
      <c r="M111" s="14">
        <v>29.762988324515693</v>
      </c>
      <c r="N111" s="14">
        <v>13.940995815888579</v>
      </c>
      <c r="O111" s="14">
        <v>97.996021209870818</v>
      </c>
      <c r="P111" s="14">
        <v>23.457522050999756</v>
      </c>
      <c r="Q111" s="14">
        <v>76.554689607013188</v>
      </c>
      <c r="R111" s="14">
        <v>25.777962335395522</v>
      </c>
      <c r="S111" s="14">
        <v>90.930268583357787</v>
      </c>
      <c r="T111" s="14">
        <v>88.581100525817519</v>
      </c>
      <c r="U111" s="14">
        <v>56.550273985545317</v>
      </c>
      <c r="V111" s="14">
        <v>71.532741180411108</v>
      </c>
      <c r="W111" s="14">
        <v>18.290131383447395</v>
      </c>
      <c r="X111" s="14">
        <v>46.298149208273585</v>
      </c>
      <c r="Y111" s="14">
        <v>56.270647610423694</v>
      </c>
      <c r="Z111" s="14">
        <v>29.836979087695216</v>
      </c>
      <c r="AA111" s="14">
        <v>47.379803932134891</v>
      </c>
      <c r="AB111" s="14">
        <v>71.679088269096894</v>
      </c>
      <c r="AC111" s="14">
        <v>66.919900019634923</v>
      </c>
      <c r="AD111" s="14">
        <v>37.738989983057493</v>
      </c>
      <c r="AE111" s="14">
        <v>83.419402429074523</v>
      </c>
      <c r="AF111" s="14">
        <v>15.14388388561062</v>
      </c>
      <c r="AG111" s="14">
        <v>29.28953910870823</v>
      </c>
      <c r="AH111" s="14">
        <v>80.090647621047495</v>
      </c>
      <c r="AI111" s="14">
        <v>6.9410600953546453</v>
      </c>
      <c r="AJ111" s="14">
        <v>63.189475013243936</v>
      </c>
      <c r="AK111" s="14">
        <v>95.288480315310736</v>
      </c>
      <c r="AL111" s="14">
        <v>76.587353370447502</v>
      </c>
      <c r="AM111" s="14">
        <v>22.281761003620094</v>
      </c>
      <c r="AN111" s="14">
        <v>25.503379907091439</v>
      </c>
      <c r="AO111" s="14">
        <v>38.490296925733183</v>
      </c>
      <c r="AP111" s="14">
        <v>86.47099197810293</v>
      </c>
      <c r="AQ111" s="14">
        <v>89.159565286892317</v>
      </c>
      <c r="AR111" s="14">
        <v>56.523705023498685</v>
      </c>
      <c r="AS111" s="14">
        <v>10.731451192597262</v>
      </c>
      <c r="AT111" s="14">
        <v>40.950374493087516</v>
      </c>
      <c r="AU111" s="14">
        <v>0.53222358456013197</v>
      </c>
      <c r="AV111" s="14">
        <v>53.517309623871142</v>
      </c>
      <c r="AW111" s="14">
        <v>78.612639247608328</v>
      </c>
      <c r="AX111" s="14">
        <v>59.963491717109378</v>
      </c>
      <c r="AY111" s="14">
        <v>17.527367336923493</v>
      </c>
      <c r="AZ111" s="14">
        <v>36.412985818628172</v>
      </c>
      <c r="BA111" s="14">
        <v>55.631534211677582</v>
      </c>
      <c r="BB111" s="14">
        <v>81.786180241241567</v>
      </c>
      <c r="BC111" s="14">
        <v>90.820846944221117</v>
      </c>
      <c r="BD111" s="14">
        <v>98.986200326283083</v>
      </c>
    </row>
    <row r="112" spans="1:56" x14ac:dyDescent="0.3">
      <c r="A112" s="19">
        <v>2016</v>
      </c>
      <c r="B112" s="8" t="s">
        <v>14</v>
      </c>
      <c r="C112" s="8" t="str">
        <f t="shared" si="6"/>
        <v>CT</v>
      </c>
      <c r="D112" s="8" t="str">
        <f t="shared" si="7"/>
        <v>康涅狄格</v>
      </c>
      <c r="E112" s="15">
        <v>79.99002004744618</v>
      </c>
      <c r="F112" s="15">
        <v>64.055253423566455</v>
      </c>
      <c r="G112" s="15">
        <v>3.7855536020906189</v>
      </c>
      <c r="H112" s="15">
        <v>38.444166126498402</v>
      </c>
      <c r="I112" s="15">
        <v>90.429875152857619</v>
      </c>
      <c r="J112" s="15">
        <v>39.374159054668844</v>
      </c>
      <c r="K112" s="15">
        <v>10.540791819302331</v>
      </c>
      <c r="L112" s="15">
        <v>97.273602220064149</v>
      </c>
      <c r="M112" s="15">
        <v>29.2936345913255</v>
      </c>
      <c r="N112" s="15">
        <v>78.557843006831206</v>
      </c>
      <c r="O112" s="15">
        <v>23.047477064376707</v>
      </c>
      <c r="P112" s="15">
        <v>40.517838240406448</v>
      </c>
      <c r="Q112" s="15">
        <v>37.471469666921742</v>
      </c>
      <c r="R112" s="15">
        <v>73.236756430984357</v>
      </c>
      <c r="S112" s="15">
        <v>77.245916729444033</v>
      </c>
      <c r="T112" s="15">
        <v>54.672552721990954</v>
      </c>
      <c r="U112" s="15">
        <v>66.202376000377456</v>
      </c>
      <c r="V112" s="15">
        <v>39.819934818167056</v>
      </c>
      <c r="W112" s="15">
        <v>43.190772659044853</v>
      </c>
      <c r="X112" s="15">
        <v>71.946024350017041</v>
      </c>
      <c r="Y112" s="15">
        <v>61.291329657013335</v>
      </c>
      <c r="Z112" s="15">
        <v>93.887073061652359</v>
      </c>
      <c r="AA112" s="15">
        <v>73.834561748895538</v>
      </c>
      <c r="AB112" s="15">
        <v>3.2565505664218453</v>
      </c>
      <c r="AC112" s="15">
        <v>44.183722947343462</v>
      </c>
      <c r="AD112" s="15">
        <v>35.916558247916655</v>
      </c>
      <c r="AE112" s="15">
        <v>14.157087930608913</v>
      </c>
      <c r="AF112" s="15">
        <v>7.1403630031163789</v>
      </c>
      <c r="AG112" s="15">
        <v>98.630932623169286</v>
      </c>
      <c r="AH112" s="15">
        <v>8.5645842764080271</v>
      </c>
      <c r="AI112" s="15">
        <v>64.568853932185576</v>
      </c>
      <c r="AJ112" s="15">
        <v>17.396289940650611</v>
      </c>
      <c r="AK112" s="15">
        <v>40.513530590932199</v>
      </c>
      <c r="AL112" s="15">
        <v>90.932282926618385</v>
      </c>
      <c r="AM112" s="15">
        <v>36.49012041078209</v>
      </c>
      <c r="AN112" s="15">
        <v>32.029520458477243</v>
      </c>
      <c r="AO112" s="15">
        <v>65.872268684060032</v>
      </c>
      <c r="AP112" s="15">
        <v>59.438981649608714</v>
      </c>
      <c r="AQ112" s="15">
        <v>62.475222360751836</v>
      </c>
      <c r="AR112" s="15">
        <v>24.577525927784272</v>
      </c>
      <c r="AS112" s="15">
        <v>13.848419968635605</v>
      </c>
      <c r="AT112" s="15">
        <v>20.786252330634515</v>
      </c>
      <c r="AU112" s="15">
        <v>42.523708465293041</v>
      </c>
      <c r="AV112" s="15">
        <v>84.838924006403289</v>
      </c>
      <c r="AW112" s="15">
        <v>72.937512512623002</v>
      </c>
      <c r="AX112" s="15">
        <v>24.781140696356406</v>
      </c>
      <c r="AY112" s="15">
        <v>89.172111691130979</v>
      </c>
      <c r="AZ112" s="15">
        <v>2.8257844796348186</v>
      </c>
      <c r="BA112" s="15">
        <v>62.921155719662217</v>
      </c>
      <c r="BB112" s="15">
        <v>75.903925300316061</v>
      </c>
      <c r="BC112" s="15">
        <v>24.720039432431285</v>
      </c>
      <c r="BD112" s="15">
        <v>63.340931130422703</v>
      </c>
    </row>
    <row r="113" spans="1:56" x14ac:dyDescent="0.3">
      <c r="A113" s="18">
        <v>2016</v>
      </c>
      <c r="B113" s="6" t="s">
        <v>16</v>
      </c>
      <c r="C113" s="6" t="str">
        <f t="shared" si="6"/>
        <v>DE</v>
      </c>
      <c r="D113" s="6" t="str">
        <f t="shared" si="7"/>
        <v>特拉华州</v>
      </c>
      <c r="E113" s="14">
        <v>61.136994247632359</v>
      </c>
      <c r="F113" s="14">
        <v>35.844331400777541</v>
      </c>
      <c r="G113" s="14">
        <v>34.68316071127385</v>
      </c>
      <c r="H113" s="14">
        <v>48.483522063262704</v>
      </c>
      <c r="I113" s="14">
        <v>36.247209802210023</v>
      </c>
      <c r="J113" s="14">
        <v>18.424257084955396</v>
      </c>
      <c r="K113" s="14">
        <v>96.706922169420125</v>
      </c>
      <c r="L113" s="14">
        <v>54.583977508257576</v>
      </c>
      <c r="M113" s="14">
        <v>51.22476238986782</v>
      </c>
      <c r="N113" s="14">
        <v>60.276213450749673</v>
      </c>
      <c r="O113" s="14">
        <v>57.986442353165927</v>
      </c>
      <c r="P113" s="14">
        <v>55.086904221084012</v>
      </c>
      <c r="Q113" s="14">
        <v>16.679597658785539</v>
      </c>
      <c r="R113" s="14">
        <v>36.972870314864259</v>
      </c>
      <c r="S113" s="14">
        <v>48.288749348556436</v>
      </c>
      <c r="T113" s="14">
        <v>37.276222215336205</v>
      </c>
      <c r="U113" s="14">
        <v>11.801301928645291</v>
      </c>
      <c r="V113" s="14">
        <v>9.559443589644312</v>
      </c>
      <c r="W113" s="14">
        <v>50.068597600848065</v>
      </c>
      <c r="X113" s="14">
        <v>60.244331397821824</v>
      </c>
      <c r="Y113" s="14">
        <v>93.195765664564817</v>
      </c>
      <c r="Z113" s="14">
        <v>62.781787366466091</v>
      </c>
      <c r="AA113" s="14">
        <v>74.256368692093815</v>
      </c>
      <c r="AB113" s="14">
        <v>81.977544571695219</v>
      </c>
      <c r="AC113" s="14">
        <v>28.783859297450455</v>
      </c>
      <c r="AD113" s="14">
        <v>49.61445312962914</v>
      </c>
      <c r="AE113" s="14">
        <v>30.056844424390839</v>
      </c>
      <c r="AF113" s="14">
        <v>76.665139268251366</v>
      </c>
      <c r="AG113" s="14">
        <v>90.656097225465984</v>
      </c>
      <c r="AH113" s="14">
        <v>82.42649484960404</v>
      </c>
      <c r="AI113" s="14">
        <v>19.128980279958974</v>
      </c>
      <c r="AJ113" s="14">
        <v>91.567123421546071</v>
      </c>
      <c r="AK113" s="14">
        <v>74.139023562375883</v>
      </c>
      <c r="AL113" s="14">
        <v>62.003287757919466</v>
      </c>
      <c r="AM113" s="14">
        <v>19.535546066706832</v>
      </c>
      <c r="AN113" s="14">
        <v>9.9282051081638905</v>
      </c>
      <c r="AO113" s="14">
        <v>78.383862068753018</v>
      </c>
      <c r="AP113" s="14">
        <v>37.044907310055088</v>
      </c>
      <c r="AQ113" s="14">
        <v>28.064290293448657</v>
      </c>
      <c r="AR113" s="14">
        <v>28.839707551712657</v>
      </c>
      <c r="AS113" s="14">
        <v>86.284338460370847</v>
      </c>
      <c r="AT113" s="14">
        <v>8.8530007336894094</v>
      </c>
      <c r="AU113" s="14">
        <v>68.235398155618782</v>
      </c>
      <c r="AV113" s="14">
        <v>76.862639079531561</v>
      </c>
      <c r="AW113" s="14">
        <v>93.496357680668737</v>
      </c>
      <c r="AX113" s="14">
        <v>98.465656026601366</v>
      </c>
      <c r="AY113" s="14">
        <v>72.672660395304916</v>
      </c>
      <c r="AZ113" s="14">
        <v>79.721206670514192</v>
      </c>
      <c r="BA113" s="14">
        <v>39.964500708928966</v>
      </c>
      <c r="BB113" s="14">
        <v>89.309702592496464</v>
      </c>
      <c r="BC113" s="14">
        <v>26.031332420034879</v>
      </c>
      <c r="BD113" s="14">
        <v>1.2768629622614491</v>
      </c>
    </row>
    <row r="114" spans="1:56" x14ac:dyDescent="0.3">
      <c r="A114" s="19">
        <v>2016</v>
      </c>
      <c r="B114" s="8" t="s">
        <v>18</v>
      </c>
      <c r="C114" s="8" t="str">
        <f t="shared" si="6"/>
        <v>DC</v>
      </c>
      <c r="D114" s="8" t="str">
        <f t="shared" si="7"/>
        <v>哥伦比亚特区</v>
      </c>
      <c r="E114" s="15">
        <v>82.227741802912618</v>
      </c>
      <c r="F114" s="15">
        <v>57.952634720014004</v>
      </c>
      <c r="G114" s="15">
        <v>4.8983583093502698</v>
      </c>
      <c r="H114" s="15">
        <v>81.131784541593888</v>
      </c>
      <c r="I114" s="15">
        <v>64.482290504457623</v>
      </c>
      <c r="J114" s="15">
        <v>69.261060247917229</v>
      </c>
      <c r="K114" s="15">
        <v>0.70393905652955668</v>
      </c>
      <c r="L114" s="15">
        <v>78.570617027156118</v>
      </c>
      <c r="M114" s="15">
        <v>12.482930495757182</v>
      </c>
      <c r="N114" s="15">
        <v>62.813339145063985</v>
      </c>
      <c r="O114" s="15">
        <v>20.985179729515103</v>
      </c>
      <c r="P114" s="15">
        <v>71.22383250112992</v>
      </c>
      <c r="Q114" s="15">
        <v>93.161415434769197</v>
      </c>
      <c r="R114" s="15">
        <v>94.136974297647683</v>
      </c>
      <c r="S114" s="15">
        <v>93.979944151590772</v>
      </c>
      <c r="T114" s="15">
        <v>5.8681476521263987</v>
      </c>
      <c r="U114" s="15">
        <v>13.754609359743075</v>
      </c>
      <c r="V114" s="15">
        <v>81.478240821903142</v>
      </c>
      <c r="W114" s="15">
        <v>99.036257981413797</v>
      </c>
      <c r="X114" s="15">
        <v>29.140654817794577</v>
      </c>
      <c r="Y114" s="15">
        <v>70.114735828531508</v>
      </c>
      <c r="Z114" s="15">
        <v>84.32883529101646</v>
      </c>
      <c r="AA114" s="15">
        <v>93.663009207215836</v>
      </c>
      <c r="AB114" s="15">
        <v>17.669688066287915</v>
      </c>
      <c r="AC114" s="15">
        <v>94.209471023764777</v>
      </c>
      <c r="AD114" s="15">
        <v>41.375814912723563</v>
      </c>
      <c r="AE114" s="15">
        <v>24.845950492483805</v>
      </c>
      <c r="AF114" s="15">
        <v>87.527779487180197</v>
      </c>
      <c r="AG114" s="15">
        <v>6.6030825926126635</v>
      </c>
      <c r="AH114" s="15">
        <v>48.527576504208056</v>
      </c>
      <c r="AI114" s="15">
        <v>52.155728915968837</v>
      </c>
      <c r="AJ114" s="15">
        <v>67.368573988149691</v>
      </c>
      <c r="AK114" s="15">
        <v>69.371885609624826</v>
      </c>
      <c r="AL114" s="15">
        <v>22.569310381663144</v>
      </c>
      <c r="AM114" s="15">
        <v>96.123611252140918</v>
      </c>
      <c r="AN114" s="15">
        <v>31.102125273864289</v>
      </c>
      <c r="AO114" s="15">
        <v>61.908951056358987</v>
      </c>
      <c r="AP114" s="15">
        <v>22.300968886739259</v>
      </c>
      <c r="AQ114" s="15">
        <v>58.299021136432174</v>
      </c>
      <c r="AR114" s="15">
        <v>80.262219350961644</v>
      </c>
      <c r="AS114" s="15">
        <v>97.498539748071238</v>
      </c>
      <c r="AT114" s="15">
        <v>65.707598091138607</v>
      </c>
      <c r="AU114" s="15">
        <v>81.413436734230032</v>
      </c>
      <c r="AV114" s="15">
        <v>54.791004922017351</v>
      </c>
      <c r="AW114" s="15">
        <v>25.986432340121326</v>
      </c>
      <c r="AX114" s="15">
        <v>75.86237697406807</v>
      </c>
      <c r="AY114" s="15">
        <v>77.870025360491525</v>
      </c>
      <c r="AZ114" s="15">
        <v>79.522795441787181</v>
      </c>
      <c r="BA114" s="15">
        <v>57.988148917291539</v>
      </c>
      <c r="BB114" s="15">
        <v>6.2064520395015528</v>
      </c>
      <c r="BC114" s="15">
        <v>9.7474653015388153</v>
      </c>
      <c r="BD114" s="15">
        <v>69.918454739326691</v>
      </c>
    </row>
    <row r="115" spans="1:56" x14ac:dyDescent="0.3">
      <c r="A115" s="18">
        <v>2016</v>
      </c>
      <c r="B115" s="6" t="s">
        <v>20</v>
      </c>
      <c r="C115" s="6" t="str">
        <f t="shared" si="6"/>
        <v>FL</v>
      </c>
      <c r="D115" s="6" t="str">
        <f t="shared" si="7"/>
        <v>佛罗里达</v>
      </c>
      <c r="E115" s="14">
        <v>1.4402787428678732</v>
      </c>
      <c r="F115" s="14">
        <v>69.51355739312109</v>
      </c>
      <c r="G115" s="14">
        <v>65.171946689431991</v>
      </c>
      <c r="H115" s="14">
        <v>12.701535987465473</v>
      </c>
      <c r="I115" s="14">
        <v>67.971254566792709</v>
      </c>
      <c r="J115" s="14">
        <v>73.146383874779758</v>
      </c>
      <c r="K115" s="14">
        <v>97.453540306237954</v>
      </c>
      <c r="L115" s="14">
        <v>64.058199789278774</v>
      </c>
      <c r="M115" s="14">
        <v>68.261360342140492</v>
      </c>
      <c r="N115" s="14">
        <v>20.57930019216996</v>
      </c>
      <c r="O115" s="14">
        <v>81.021185812635196</v>
      </c>
      <c r="P115" s="14">
        <v>79.681950214054254</v>
      </c>
      <c r="Q115" s="14">
        <v>64.435999597927847</v>
      </c>
      <c r="R115" s="14">
        <v>88.418414856485882</v>
      </c>
      <c r="S115" s="14">
        <v>10.419341584217467</v>
      </c>
      <c r="T115" s="14">
        <v>2.0074755046104342</v>
      </c>
      <c r="U115" s="14">
        <v>57.266852342402643</v>
      </c>
      <c r="V115" s="14">
        <v>41.255453700373849</v>
      </c>
      <c r="W115" s="14">
        <v>58.728430357713933</v>
      </c>
      <c r="X115" s="14">
        <v>82.652631850985827</v>
      </c>
      <c r="Y115" s="14">
        <v>64.549524330433599</v>
      </c>
      <c r="Z115" s="14">
        <v>68.338865859010866</v>
      </c>
      <c r="AA115" s="14">
        <v>67.460559091694421</v>
      </c>
      <c r="AB115" s="14">
        <v>77.74965904222006</v>
      </c>
      <c r="AC115" s="14">
        <v>77.868916413487938</v>
      </c>
      <c r="AD115" s="14">
        <v>4.9379722045850727</v>
      </c>
      <c r="AE115" s="14">
        <v>18.190624753664341</v>
      </c>
      <c r="AF115" s="14">
        <v>2.7979910402579189</v>
      </c>
      <c r="AG115" s="14">
        <v>36.807296423493987</v>
      </c>
      <c r="AH115" s="14">
        <v>58.253428847286479</v>
      </c>
      <c r="AI115" s="14">
        <v>22.228443258541397</v>
      </c>
      <c r="AJ115" s="14">
        <v>27.738684187314966</v>
      </c>
      <c r="AK115" s="14">
        <v>38.220950652195654</v>
      </c>
      <c r="AL115" s="14">
        <v>94.786349826986168</v>
      </c>
      <c r="AM115" s="14">
        <v>32.706343924710637</v>
      </c>
      <c r="AN115" s="14">
        <v>73.704543929750031</v>
      </c>
      <c r="AO115" s="14">
        <v>8.338500784063962</v>
      </c>
      <c r="AP115" s="14">
        <v>66.561586294687103</v>
      </c>
      <c r="AQ115" s="14">
        <v>24.456534215740366</v>
      </c>
      <c r="AR115" s="14">
        <v>31.64126092556938</v>
      </c>
      <c r="AS115" s="14">
        <v>51.671352975339325</v>
      </c>
      <c r="AT115" s="14">
        <v>9.7688580138813208</v>
      </c>
      <c r="AU115" s="14">
        <v>98.345946249076533</v>
      </c>
      <c r="AV115" s="14">
        <v>17.666359619408279</v>
      </c>
      <c r="AW115" s="14">
        <v>79.598660859112016</v>
      </c>
      <c r="AX115" s="14">
        <v>75.868010043910147</v>
      </c>
      <c r="AY115" s="14">
        <v>58.100042717959475</v>
      </c>
      <c r="AZ115" s="14">
        <v>88.295533715362993</v>
      </c>
      <c r="BA115" s="14">
        <v>49.724706265333907</v>
      </c>
      <c r="BB115" s="14">
        <v>82.660515847427803</v>
      </c>
      <c r="BC115" s="14">
        <v>99.799556806182949</v>
      </c>
      <c r="BD115" s="14">
        <v>84.233772624734343</v>
      </c>
    </row>
    <row r="116" spans="1:56" x14ac:dyDescent="0.3">
      <c r="A116" s="19">
        <v>2016</v>
      </c>
      <c r="B116" s="8" t="s">
        <v>22</v>
      </c>
      <c r="C116" s="8" t="str">
        <f t="shared" si="6"/>
        <v>GA</v>
      </c>
      <c r="D116" s="8" t="str">
        <f t="shared" si="7"/>
        <v>乔治亚州</v>
      </c>
      <c r="E116" s="15">
        <v>51.213503387544755</v>
      </c>
      <c r="F116" s="15">
        <v>9.7887299009598028</v>
      </c>
      <c r="G116" s="15">
        <v>52.111934036166815</v>
      </c>
      <c r="H116" s="15">
        <v>46.175031610503851</v>
      </c>
      <c r="I116" s="15">
        <v>99.440627300823877</v>
      </c>
      <c r="J116" s="15">
        <v>90.717308931329796</v>
      </c>
      <c r="K116" s="15">
        <v>97.73880048217481</v>
      </c>
      <c r="L116" s="15">
        <v>73.863657891669874</v>
      </c>
      <c r="M116" s="15">
        <v>27.726828130321234</v>
      </c>
      <c r="N116" s="15">
        <v>76.664936132945911</v>
      </c>
      <c r="O116" s="15">
        <v>51.55748650096205</v>
      </c>
      <c r="P116" s="15">
        <v>4.461711876144947</v>
      </c>
      <c r="Q116" s="15">
        <v>42.811815668719333</v>
      </c>
      <c r="R116" s="15">
        <v>3.5907554079905091</v>
      </c>
      <c r="S116" s="15">
        <v>19.31320638867977</v>
      </c>
      <c r="T116" s="15">
        <v>33.920950451348354</v>
      </c>
      <c r="U116" s="15">
        <v>2.4265338548644433</v>
      </c>
      <c r="V116" s="15">
        <v>9.4168643713802069</v>
      </c>
      <c r="W116" s="15">
        <v>81.447940616171977</v>
      </c>
      <c r="X116" s="15">
        <v>26.69930901126979</v>
      </c>
      <c r="Y116" s="15">
        <v>88.240624932420758</v>
      </c>
      <c r="Z116" s="15">
        <v>73.125990380069396</v>
      </c>
      <c r="AA116" s="15">
        <v>33.90616367249568</v>
      </c>
      <c r="AB116" s="15">
        <v>33.525523255177312</v>
      </c>
      <c r="AC116" s="15">
        <v>1.3979423731028673</v>
      </c>
      <c r="AD116" s="15">
        <v>50.690043986937049</v>
      </c>
      <c r="AE116" s="15">
        <v>7.0428749033397908</v>
      </c>
      <c r="AF116" s="15">
        <v>16.060888825450505</v>
      </c>
      <c r="AG116" s="15">
        <v>9.8204411259322661</v>
      </c>
      <c r="AH116" s="15">
        <v>45.382741132177607</v>
      </c>
      <c r="AI116" s="15">
        <v>32.225841262401431</v>
      </c>
      <c r="AJ116" s="15">
        <v>99.711750085279618</v>
      </c>
      <c r="AK116" s="15">
        <v>79.044280600478103</v>
      </c>
      <c r="AL116" s="15">
        <v>77.953258266658267</v>
      </c>
      <c r="AM116" s="15">
        <v>25.676321619004504</v>
      </c>
      <c r="AN116" s="15">
        <v>95.245480293383935</v>
      </c>
      <c r="AO116" s="15">
        <v>45.102617784034337</v>
      </c>
      <c r="AP116" s="15">
        <v>43.242895521753198</v>
      </c>
      <c r="AQ116" s="15">
        <v>43.845311937288464</v>
      </c>
      <c r="AR116" s="15">
        <v>6.2759178477170501</v>
      </c>
      <c r="AS116" s="15">
        <v>82.11686472891941</v>
      </c>
      <c r="AT116" s="15">
        <v>34.83254836358303</v>
      </c>
      <c r="AU116" s="15">
        <v>99.132678616021877</v>
      </c>
      <c r="AV116" s="15">
        <v>80.54176256105066</v>
      </c>
      <c r="AW116" s="15">
        <v>51.206824930507885</v>
      </c>
      <c r="AX116" s="15">
        <v>3.8494131777062179</v>
      </c>
      <c r="AY116" s="15">
        <v>64.18598285407478</v>
      </c>
      <c r="AZ116" s="15">
        <v>55.04808484877055</v>
      </c>
      <c r="BA116" s="15">
        <v>7.5010449023279024</v>
      </c>
      <c r="BB116" s="15">
        <v>93.552518153914789</v>
      </c>
      <c r="BC116" s="15">
        <v>81.353736196762981</v>
      </c>
      <c r="BD116" s="15">
        <v>5.8863741461130719</v>
      </c>
    </row>
    <row r="117" spans="1:56" x14ac:dyDescent="0.3">
      <c r="A117" s="18">
        <v>2016</v>
      </c>
      <c r="B117" s="6" t="s">
        <v>24</v>
      </c>
      <c r="C117" s="6" t="str">
        <f t="shared" si="6"/>
        <v>HI</v>
      </c>
      <c r="D117" s="6" t="str">
        <f t="shared" si="7"/>
        <v>夏威夷</v>
      </c>
      <c r="E117" s="14">
        <v>67.467308720518602</v>
      </c>
      <c r="F117" s="14">
        <v>62.99711783370735</v>
      </c>
      <c r="G117" s="14">
        <v>77.28970395211627</v>
      </c>
      <c r="H117" s="14">
        <v>94.508730471947146</v>
      </c>
      <c r="I117" s="14">
        <v>29.045571919389069</v>
      </c>
      <c r="J117" s="14">
        <v>50.963058512399904</v>
      </c>
      <c r="K117" s="14">
        <v>52.785017386026198</v>
      </c>
      <c r="L117" s="14">
        <v>22.680716307495242</v>
      </c>
      <c r="M117" s="14">
        <v>44.255635602175921</v>
      </c>
      <c r="N117" s="14">
        <v>82.963503527088861</v>
      </c>
      <c r="O117" s="14">
        <v>82.229942326910177</v>
      </c>
      <c r="P117" s="14">
        <v>57.166428507866272</v>
      </c>
      <c r="Q117" s="14">
        <v>68.77281892934549</v>
      </c>
      <c r="R117" s="14">
        <v>79.537390387734192</v>
      </c>
      <c r="S117" s="14">
        <v>66.257955414907528</v>
      </c>
      <c r="T117" s="14">
        <v>79.380852066161935</v>
      </c>
      <c r="U117" s="14">
        <v>97.769547152536546</v>
      </c>
      <c r="V117" s="14">
        <v>81.533791719614115</v>
      </c>
      <c r="W117" s="14">
        <v>60.941843603300086</v>
      </c>
      <c r="X117" s="14">
        <v>84.242286852902183</v>
      </c>
      <c r="Y117" s="14">
        <v>76.524216387666129</v>
      </c>
      <c r="Z117" s="14">
        <v>37.088086409839271</v>
      </c>
      <c r="AA117" s="14">
        <v>8.1333741372178974</v>
      </c>
      <c r="AB117" s="14">
        <v>80.082361228027281</v>
      </c>
      <c r="AC117" s="14">
        <v>73.02878447324251</v>
      </c>
      <c r="AD117" s="14">
        <v>44.088321674984108</v>
      </c>
      <c r="AE117" s="14">
        <v>69.965653649523233</v>
      </c>
      <c r="AF117" s="14">
        <v>89.966825944868603</v>
      </c>
      <c r="AG117" s="14">
        <v>61.937976111222767</v>
      </c>
      <c r="AH117" s="14">
        <v>40.861735680815222</v>
      </c>
      <c r="AI117" s="14">
        <v>92.727151233208716</v>
      </c>
      <c r="AJ117" s="14">
        <v>47.805248174932103</v>
      </c>
      <c r="AK117" s="14">
        <v>22.97286082465223</v>
      </c>
      <c r="AL117" s="14">
        <v>64.126942275752938</v>
      </c>
      <c r="AM117" s="14">
        <v>62.458229527356814</v>
      </c>
      <c r="AN117" s="14">
        <v>66.720157458445456</v>
      </c>
      <c r="AO117" s="14">
        <v>91.512539532383215</v>
      </c>
      <c r="AP117" s="14">
        <v>24.512750844752361</v>
      </c>
      <c r="AQ117" s="14">
        <v>16.611887829240356</v>
      </c>
      <c r="AR117" s="14">
        <v>7.3602785816236143</v>
      </c>
      <c r="AS117" s="14">
        <v>54.880101898208025</v>
      </c>
      <c r="AT117" s="14">
        <v>84.607541148468101</v>
      </c>
      <c r="AU117" s="14">
        <v>99.829786182758241</v>
      </c>
      <c r="AV117" s="14">
        <v>4.2399723703892995</v>
      </c>
      <c r="AW117" s="14">
        <v>8.6981519775245157</v>
      </c>
      <c r="AX117" s="14">
        <v>7.6833173713204195</v>
      </c>
      <c r="AY117" s="14">
        <v>86.991742869263049</v>
      </c>
      <c r="AZ117" s="14">
        <v>62.98717233909943</v>
      </c>
      <c r="BA117" s="14">
        <v>45.326046283244537</v>
      </c>
      <c r="BB117" s="14">
        <v>65.661900947084888</v>
      </c>
      <c r="BC117" s="14">
        <v>48.25209728076986</v>
      </c>
      <c r="BD117" s="14">
        <v>35.80943451196439</v>
      </c>
    </row>
    <row r="118" spans="1:56" x14ac:dyDescent="0.3">
      <c r="A118" s="19">
        <v>2016</v>
      </c>
      <c r="B118" s="8" t="s">
        <v>26</v>
      </c>
      <c r="C118" s="8" t="str">
        <f t="shared" si="6"/>
        <v>ID</v>
      </c>
      <c r="D118" s="8" t="str">
        <f t="shared" si="7"/>
        <v>爱达荷州</v>
      </c>
      <c r="E118" s="15">
        <v>38.691672325832094</v>
      </c>
      <c r="F118" s="15">
        <v>29.308750536234406</v>
      </c>
      <c r="G118" s="15">
        <v>17.06471862923269</v>
      </c>
      <c r="H118" s="15">
        <v>93.731054268734965</v>
      </c>
      <c r="I118" s="15">
        <v>85.215978718560578</v>
      </c>
      <c r="J118" s="15">
        <v>0.89987457800583259</v>
      </c>
      <c r="K118" s="15">
        <v>41.398237505220422</v>
      </c>
      <c r="L118" s="15">
        <v>25.211908603393283</v>
      </c>
      <c r="M118" s="15">
        <v>70.651333163103786</v>
      </c>
      <c r="N118" s="15">
        <v>44.315105570450264</v>
      </c>
      <c r="O118" s="15">
        <v>4.4152782705902949</v>
      </c>
      <c r="P118" s="15">
        <v>29.086906527781498</v>
      </c>
      <c r="Q118" s="15">
        <v>19.626843220992761</v>
      </c>
      <c r="R118" s="15">
        <v>29.276767687512539</v>
      </c>
      <c r="S118" s="15">
        <v>55.326725074098768</v>
      </c>
      <c r="T118" s="15">
        <v>9.0189879485665596</v>
      </c>
      <c r="U118" s="15">
        <v>20.539699133900914</v>
      </c>
      <c r="V118" s="15">
        <v>39.717104768891474</v>
      </c>
      <c r="W118" s="15">
        <v>1.4515391658615373</v>
      </c>
      <c r="X118" s="15">
        <v>49.1362834364676</v>
      </c>
      <c r="Y118" s="15">
        <v>33.128614017184042</v>
      </c>
      <c r="Z118" s="15">
        <v>0.71439152744262602</v>
      </c>
      <c r="AA118" s="15">
        <v>96.486709787486319</v>
      </c>
      <c r="AB118" s="15">
        <v>31.864636234752609</v>
      </c>
      <c r="AC118" s="15">
        <v>26.188556538991424</v>
      </c>
      <c r="AD118" s="15">
        <v>16.197270506856064</v>
      </c>
      <c r="AE118" s="15">
        <v>30.950371420908784</v>
      </c>
      <c r="AF118" s="15">
        <v>76.569179258246464</v>
      </c>
      <c r="AG118" s="15">
        <v>45.198823313669592</v>
      </c>
      <c r="AH118" s="15">
        <v>55.101131499988874</v>
      </c>
      <c r="AI118" s="15">
        <v>1.2385582493857017</v>
      </c>
      <c r="AJ118" s="15">
        <v>37.669242442594452</v>
      </c>
      <c r="AK118" s="15">
        <v>95.474828122608827</v>
      </c>
      <c r="AL118" s="15">
        <v>9.0037892164423816</v>
      </c>
      <c r="AM118" s="15">
        <v>72.37309111175334</v>
      </c>
      <c r="AN118" s="15">
        <v>93.232661831929519</v>
      </c>
      <c r="AO118" s="15">
        <v>32.632224377005514</v>
      </c>
      <c r="AP118" s="15">
        <v>98.455608746875072</v>
      </c>
      <c r="AQ118" s="15">
        <v>19.608058876774759</v>
      </c>
      <c r="AR118" s="15">
        <v>62.818410390464628</v>
      </c>
      <c r="AS118" s="15">
        <v>8.093588523098493</v>
      </c>
      <c r="AT118" s="15">
        <v>20.089240352799141</v>
      </c>
      <c r="AU118" s="15">
        <v>28.959791152138347</v>
      </c>
      <c r="AV118" s="15">
        <v>38.88066450858787</v>
      </c>
      <c r="AW118" s="15">
        <v>91.657096253421329</v>
      </c>
      <c r="AX118" s="15">
        <v>69.075254722627761</v>
      </c>
      <c r="AY118" s="15">
        <v>5.1194895465145995</v>
      </c>
      <c r="AZ118" s="15">
        <v>9.1334494564149988</v>
      </c>
      <c r="BA118" s="15">
        <v>32.555933362777246</v>
      </c>
      <c r="BB118" s="15">
        <v>25.789079135763771</v>
      </c>
      <c r="BC118" s="15">
        <v>99.49707095581239</v>
      </c>
      <c r="BD118" s="15">
        <v>41.723285416200305</v>
      </c>
    </row>
    <row r="119" spans="1:56" x14ac:dyDescent="0.3">
      <c r="A119" s="18">
        <v>2016</v>
      </c>
      <c r="B119" s="6" t="s">
        <v>28</v>
      </c>
      <c r="C119" s="6" t="str">
        <f t="shared" si="6"/>
        <v>IL</v>
      </c>
      <c r="D119" s="6" t="str">
        <f t="shared" si="7"/>
        <v>伊利诺斯州</v>
      </c>
      <c r="E119" s="14">
        <v>98.619039678408086</v>
      </c>
      <c r="F119" s="14">
        <v>52.956489820280019</v>
      </c>
      <c r="G119" s="14">
        <v>81.019385176379842</v>
      </c>
      <c r="H119" s="14">
        <v>74.495170417598601</v>
      </c>
      <c r="I119" s="14">
        <v>34.1083698867807</v>
      </c>
      <c r="J119" s="14">
        <v>63.396690795963707</v>
      </c>
      <c r="K119" s="14">
        <v>39.855993771166176</v>
      </c>
      <c r="L119" s="14">
        <v>5.6328312546402026</v>
      </c>
      <c r="M119" s="14">
        <v>69.553025087375957</v>
      </c>
      <c r="N119" s="14">
        <v>53.156314149173902</v>
      </c>
      <c r="O119" s="14">
        <v>83.194568003072717</v>
      </c>
      <c r="P119" s="14">
        <v>83.85695792459444</v>
      </c>
      <c r="Q119" s="14">
        <v>87.222190145423312</v>
      </c>
      <c r="R119" s="14">
        <v>44.555594727734103</v>
      </c>
      <c r="S119" s="14">
        <v>2.9635797258834251</v>
      </c>
      <c r="T119" s="14">
        <v>12.768440121795699</v>
      </c>
      <c r="U119" s="14">
        <v>9.376669086501721</v>
      </c>
      <c r="V119" s="14">
        <v>95.787129775924484</v>
      </c>
      <c r="W119" s="14">
        <v>4.9452450877195737</v>
      </c>
      <c r="X119" s="14">
        <v>24.864282128784854</v>
      </c>
      <c r="Y119" s="14">
        <v>70.214650824247499</v>
      </c>
      <c r="Z119" s="14">
        <v>58.350178431718533</v>
      </c>
      <c r="AA119" s="14">
        <v>63.817582090666072</v>
      </c>
      <c r="AB119" s="14">
        <v>37.956589896142056</v>
      </c>
      <c r="AC119" s="14">
        <v>35.992460594084633</v>
      </c>
      <c r="AD119" s="14">
        <v>19.142624894812275</v>
      </c>
      <c r="AE119" s="14">
        <v>26.681336747148588</v>
      </c>
      <c r="AF119" s="14">
        <v>75.224432950109389</v>
      </c>
      <c r="AG119" s="14">
        <v>46.128280080505377</v>
      </c>
      <c r="AH119" s="14">
        <v>87.001741013440721</v>
      </c>
      <c r="AI119" s="14">
        <v>39.996961489004704</v>
      </c>
      <c r="AJ119" s="14">
        <v>79.822077505385408</v>
      </c>
      <c r="AK119" s="14">
        <v>80.725558640992887</v>
      </c>
      <c r="AL119" s="14">
        <v>24.33391959494514</v>
      </c>
      <c r="AM119" s="14">
        <v>94.358529477971373</v>
      </c>
      <c r="AN119" s="14">
        <v>14.640141822856933</v>
      </c>
      <c r="AO119" s="14">
        <v>92.29796213124844</v>
      </c>
      <c r="AP119" s="14">
        <v>70.207604217325454</v>
      </c>
      <c r="AQ119" s="14">
        <v>4.8054163546909834</v>
      </c>
      <c r="AR119" s="14">
        <v>0.4807974308201568</v>
      </c>
      <c r="AS119" s="14">
        <v>93.953852144552954</v>
      </c>
      <c r="AT119" s="14">
        <v>51.468403998251411</v>
      </c>
      <c r="AU119" s="14">
        <v>85.660503766308338</v>
      </c>
      <c r="AV119" s="14">
        <v>42.477562110635937</v>
      </c>
      <c r="AW119" s="14">
        <v>16.752505041246511</v>
      </c>
      <c r="AX119" s="14">
        <v>17.07745634761817</v>
      </c>
      <c r="AY119" s="14">
        <v>20.108715168721947</v>
      </c>
      <c r="AZ119" s="14">
        <v>31.208707201602515</v>
      </c>
      <c r="BA119" s="14">
        <v>22.498083278805403</v>
      </c>
      <c r="BB119" s="14">
        <v>15.453322334536356</v>
      </c>
      <c r="BC119" s="14">
        <v>24.824389454525043</v>
      </c>
      <c r="BD119" s="14">
        <v>26.893399582279407</v>
      </c>
    </row>
    <row r="120" spans="1:56" x14ac:dyDescent="0.3">
      <c r="A120" s="19">
        <v>2016</v>
      </c>
      <c r="B120" s="8" t="s">
        <v>30</v>
      </c>
      <c r="C120" s="8" t="str">
        <f t="shared" si="6"/>
        <v>IN</v>
      </c>
      <c r="D120" s="8" t="str">
        <f t="shared" si="7"/>
        <v>印第安纳州</v>
      </c>
      <c r="E120" s="15">
        <v>52.223007571673229</v>
      </c>
      <c r="F120" s="15">
        <v>19.532120463501666</v>
      </c>
      <c r="G120" s="15">
        <v>75.973610776854301</v>
      </c>
      <c r="H120" s="15">
        <v>33.704667792668332</v>
      </c>
      <c r="I120" s="15">
        <v>41.427375289514693</v>
      </c>
      <c r="J120" s="15">
        <v>70.942104626367382</v>
      </c>
      <c r="K120" s="15">
        <v>1.8348716803075038</v>
      </c>
      <c r="L120" s="15">
        <v>8.6132581508846506E-2</v>
      </c>
      <c r="M120" s="15">
        <v>8.5137954158962756</v>
      </c>
      <c r="N120" s="15">
        <v>87.101175924507686</v>
      </c>
      <c r="O120" s="15">
        <v>42.849455154545346</v>
      </c>
      <c r="P120" s="15">
        <v>81.546230003365864</v>
      </c>
      <c r="Q120" s="15">
        <v>38.362958949976367</v>
      </c>
      <c r="R120" s="15">
        <v>14.764475311981929</v>
      </c>
      <c r="S120" s="15">
        <v>94.898952553746383</v>
      </c>
      <c r="T120" s="15">
        <v>49.159152899715849</v>
      </c>
      <c r="U120" s="15">
        <v>4.9683379281643454</v>
      </c>
      <c r="V120" s="15">
        <v>32.040207872360874</v>
      </c>
      <c r="W120" s="15">
        <v>19.455608841324199</v>
      </c>
      <c r="X120" s="15">
        <v>89.490082360342967</v>
      </c>
      <c r="Y120" s="15">
        <v>94.025678955689401</v>
      </c>
      <c r="Z120" s="15">
        <v>37.888489242812561</v>
      </c>
      <c r="AA120" s="15">
        <v>31.005963398566394</v>
      </c>
      <c r="AB120" s="15">
        <v>0.41763651748192299</v>
      </c>
      <c r="AC120" s="15">
        <v>6.3288633951043671</v>
      </c>
      <c r="AD120" s="15">
        <v>68.244383794072036</v>
      </c>
      <c r="AE120" s="15">
        <v>55.744368972633559</v>
      </c>
      <c r="AF120" s="15">
        <v>32.801628822288244</v>
      </c>
      <c r="AG120" s="15">
        <v>49.729220646215097</v>
      </c>
      <c r="AH120" s="15">
        <v>23.187375734404991</v>
      </c>
      <c r="AI120" s="15">
        <v>10.776607540877281</v>
      </c>
      <c r="AJ120" s="15">
        <v>8.5874641454763196</v>
      </c>
      <c r="AK120" s="15">
        <v>14.883400588533135</v>
      </c>
      <c r="AL120" s="15">
        <v>65.534881702909843</v>
      </c>
      <c r="AM120" s="15">
        <v>49.94009807203534</v>
      </c>
      <c r="AN120" s="15">
        <v>14.679367601010551</v>
      </c>
      <c r="AO120" s="15">
        <v>65.236063782770898</v>
      </c>
      <c r="AP120" s="15">
        <v>36.751169625518408</v>
      </c>
      <c r="AQ120" s="15">
        <v>37.079831912415749</v>
      </c>
      <c r="AR120" s="15">
        <v>76.04542123166506</v>
      </c>
      <c r="AS120" s="15">
        <v>22.8222521668899</v>
      </c>
      <c r="AT120" s="15">
        <v>11.269480573187984</v>
      </c>
      <c r="AU120" s="15">
        <v>47.414582495125842</v>
      </c>
      <c r="AV120" s="15">
        <v>34.256752490537764</v>
      </c>
      <c r="AW120" s="15">
        <v>43.412308385118322</v>
      </c>
      <c r="AX120" s="15">
        <v>78.067274358818409</v>
      </c>
      <c r="AY120" s="15">
        <v>93.604672283306087</v>
      </c>
      <c r="AZ120" s="15">
        <v>77.00667965053762</v>
      </c>
      <c r="BA120" s="15">
        <v>7.917647257299798</v>
      </c>
      <c r="BB120" s="15">
        <v>78.178086239561225</v>
      </c>
      <c r="BC120" s="15">
        <v>70.056682742731454</v>
      </c>
      <c r="BD120" s="15">
        <v>86.788153344266888</v>
      </c>
    </row>
    <row r="121" spans="1:56" x14ac:dyDescent="0.3">
      <c r="A121" s="18">
        <v>2016</v>
      </c>
      <c r="B121" s="6" t="s">
        <v>32</v>
      </c>
      <c r="C121" s="6" t="str">
        <f t="shared" si="6"/>
        <v>IA</v>
      </c>
      <c r="D121" s="6" t="str">
        <f t="shared" si="7"/>
        <v>爱荷华州</v>
      </c>
      <c r="E121" s="14">
        <v>4.1273815578883877</v>
      </c>
      <c r="F121" s="14">
        <v>73.347834015908916</v>
      </c>
      <c r="G121" s="14">
        <v>55.931457313400976</v>
      </c>
      <c r="H121" s="14">
        <v>74.533963051919457</v>
      </c>
      <c r="I121" s="14">
        <v>76.614947729448133</v>
      </c>
      <c r="J121" s="14">
        <v>88.483973129017969</v>
      </c>
      <c r="K121" s="14">
        <v>83.422861055675028</v>
      </c>
      <c r="L121" s="14">
        <v>99.454472341363982</v>
      </c>
      <c r="M121" s="14">
        <v>19.225453243051717</v>
      </c>
      <c r="N121" s="14">
        <v>10.433246821371389</v>
      </c>
      <c r="O121" s="14">
        <v>44.370851406809408</v>
      </c>
      <c r="P121" s="14">
        <v>9.3119423652417979</v>
      </c>
      <c r="Q121" s="14">
        <v>26.320701909015519</v>
      </c>
      <c r="R121" s="14">
        <v>48.009077744978036</v>
      </c>
      <c r="S121" s="14">
        <v>4.8120013693439434</v>
      </c>
      <c r="T121" s="14">
        <v>46.178416396084202</v>
      </c>
      <c r="U121" s="14">
        <v>45.868525255531111</v>
      </c>
      <c r="V121" s="14">
        <v>77.981100768407359</v>
      </c>
      <c r="W121" s="14">
        <v>70.491384916016386</v>
      </c>
      <c r="X121" s="14">
        <v>18.693871513586856</v>
      </c>
      <c r="Y121" s="14">
        <v>73.291410048312642</v>
      </c>
      <c r="Z121" s="14">
        <v>5.8188726582137136</v>
      </c>
      <c r="AA121" s="14">
        <v>2.2992592885816565</v>
      </c>
      <c r="AB121" s="14">
        <v>34.559457520946999</v>
      </c>
      <c r="AC121" s="14">
        <v>60.075736624258155</v>
      </c>
      <c r="AD121" s="14">
        <v>98.695174438510634</v>
      </c>
      <c r="AE121" s="14">
        <v>51.162993644920007</v>
      </c>
      <c r="AF121" s="14">
        <v>11.568615640236779</v>
      </c>
      <c r="AG121" s="14">
        <v>91.300187347662103</v>
      </c>
      <c r="AH121" s="14">
        <v>18.416739621465851</v>
      </c>
      <c r="AI121" s="14">
        <v>53.30866525175999</v>
      </c>
      <c r="AJ121" s="14">
        <v>69.207434148838388</v>
      </c>
      <c r="AK121" s="14">
        <v>42.921229741180866</v>
      </c>
      <c r="AL121" s="14">
        <v>94.20016340294994</v>
      </c>
      <c r="AM121" s="14">
        <v>82.208999594178962</v>
      </c>
      <c r="AN121" s="14">
        <v>26.609176244955389</v>
      </c>
      <c r="AO121" s="14">
        <v>97.521446716323197</v>
      </c>
      <c r="AP121" s="14">
        <v>41.172515129275858</v>
      </c>
      <c r="AQ121" s="14">
        <v>15.929065692391852</v>
      </c>
      <c r="AR121" s="14">
        <v>64.39892779499813</v>
      </c>
      <c r="AS121" s="14">
        <v>99.60895404870945</v>
      </c>
      <c r="AT121" s="14">
        <v>91.324933224618803</v>
      </c>
      <c r="AU121" s="14">
        <v>3.9394511657470432</v>
      </c>
      <c r="AV121" s="14">
        <v>96.254864084245995</v>
      </c>
      <c r="AW121" s="14">
        <v>87.127748496534451</v>
      </c>
      <c r="AX121" s="14">
        <v>72.59860967854209</v>
      </c>
      <c r="AY121" s="14">
        <v>71.49720738451802</v>
      </c>
      <c r="AZ121" s="14">
        <v>58.458145554859207</v>
      </c>
      <c r="BA121" s="14">
        <v>40.977030542116502</v>
      </c>
      <c r="BB121" s="14">
        <v>65.849066073909881</v>
      </c>
      <c r="BC121" s="14">
        <v>45.775378375345667</v>
      </c>
      <c r="BD121" s="14">
        <v>33.713083483524819</v>
      </c>
    </row>
    <row r="122" spans="1:56" x14ac:dyDescent="0.3">
      <c r="A122" s="19">
        <v>2016</v>
      </c>
      <c r="B122" s="8" t="s">
        <v>34</v>
      </c>
      <c r="C122" s="8" t="str">
        <f t="shared" si="6"/>
        <v>KS</v>
      </c>
      <c r="D122" s="8" t="str">
        <f t="shared" si="7"/>
        <v>堪萨斯</v>
      </c>
      <c r="E122" s="15">
        <v>20.597711872590295</v>
      </c>
      <c r="F122" s="15">
        <v>47.887761081650112</v>
      </c>
      <c r="G122" s="15">
        <v>44.161016582048873</v>
      </c>
      <c r="H122" s="15">
        <v>85.644915991917188</v>
      </c>
      <c r="I122" s="15">
        <v>6.0108114508787613</v>
      </c>
      <c r="J122" s="15">
        <v>92.975466083907918</v>
      </c>
      <c r="K122" s="15">
        <v>87.714241686188032</v>
      </c>
      <c r="L122" s="15">
        <v>45.68022073026323</v>
      </c>
      <c r="M122" s="15">
        <v>92.832201447307185</v>
      </c>
      <c r="N122" s="15">
        <v>30.524629427909421</v>
      </c>
      <c r="O122" s="15">
        <v>72.111219754587097</v>
      </c>
      <c r="P122" s="15">
        <v>15.893702091624951</v>
      </c>
      <c r="Q122" s="15">
        <v>4.3815813321377188</v>
      </c>
      <c r="R122" s="15">
        <v>3.6630178285543602</v>
      </c>
      <c r="S122" s="15">
        <v>26.938217616896289</v>
      </c>
      <c r="T122" s="15">
        <v>32.350604173962651</v>
      </c>
      <c r="U122" s="15">
        <v>27.481968544097978</v>
      </c>
      <c r="V122" s="15">
        <v>38.310409912892815</v>
      </c>
      <c r="W122" s="15">
        <v>73.794693197871283</v>
      </c>
      <c r="X122" s="15">
        <v>62.864673654045021</v>
      </c>
      <c r="Y122" s="15">
        <v>94.793067088100173</v>
      </c>
      <c r="Z122" s="15">
        <v>71.378429433911279</v>
      </c>
      <c r="AA122" s="15">
        <v>69.121824090738727</v>
      </c>
      <c r="AB122" s="15">
        <v>36.547696169873021</v>
      </c>
      <c r="AC122" s="15">
        <v>77.374526203515416</v>
      </c>
      <c r="AD122" s="15">
        <v>9.3636973768120306</v>
      </c>
      <c r="AE122" s="15">
        <v>50.143388757731685</v>
      </c>
      <c r="AF122" s="15">
        <v>90.85645885783012</v>
      </c>
      <c r="AG122" s="15">
        <v>85.878617560292454</v>
      </c>
      <c r="AH122" s="15">
        <v>43.654473172829398</v>
      </c>
      <c r="AI122" s="15">
        <v>35.923555356877692</v>
      </c>
      <c r="AJ122" s="15">
        <v>17.648397263201943</v>
      </c>
      <c r="AK122" s="15">
        <v>5.1997182386551604</v>
      </c>
      <c r="AL122" s="15">
        <v>72.640772738178711</v>
      </c>
      <c r="AM122" s="15">
        <v>49.119623204479979</v>
      </c>
      <c r="AN122" s="15">
        <v>56.920587547695</v>
      </c>
      <c r="AO122" s="15">
        <v>64.258339762869028</v>
      </c>
      <c r="AP122" s="15">
        <v>89.199236225821807</v>
      </c>
      <c r="AQ122" s="15">
        <v>13.529336179890528</v>
      </c>
      <c r="AR122" s="15">
        <v>75.32178398535612</v>
      </c>
      <c r="AS122" s="15">
        <v>53.338979204855178</v>
      </c>
      <c r="AT122" s="15">
        <v>54.0045095379309</v>
      </c>
      <c r="AU122" s="15">
        <v>27.558346710932458</v>
      </c>
      <c r="AV122" s="15">
        <v>83.736055860437858</v>
      </c>
      <c r="AW122" s="15">
        <v>89.943739822298511</v>
      </c>
      <c r="AX122" s="15">
        <v>90.245103698197454</v>
      </c>
      <c r="AY122" s="15">
        <v>36.710327885909109</v>
      </c>
      <c r="AZ122" s="15">
        <v>17.371780866279853</v>
      </c>
      <c r="BA122" s="15">
        <v>8.8974909299999076</v>
      </c>
      <c r="BB122" s="15">
        <v>93.519169176432541</v>
      </c>
      <c r="BC122" s="15">
        <v>52.651371730336905</v>
      </c>
      <c r="BD122" s="15">
        <v>35.020831253831041</v>
      </c>
    </row>
    <row r="123" spans="1:56" x14ac:dyDescent="0.3">
      <c r="A123" s="18">
        <v>2016</v>
      </c>
      <c r="B123" s="6" t="s">
        <v>36</v>
      </c>
      <c r="C123" s="6" t="str">
        <f t="shared" si="6"/>
        <v>KY</v>
      </c>
      <c r="D123" s="6" t="str">
        <f t="shared" si="7"/>
        <v>肯塔基州</v>
      </c>
      <c r="E123" s="14">
        <v>16.335247882024451</v>
      </c>
      <c r="F123" s="14">
        <v>37.655300878247303</v>
      </c>
      <c r="G123" s="14">
        <v>57.735157168659597</v>
      </c>
      <c r="H123" s="14">
        <v>75.958999766319096</v>
      </c>
      <c r="I123" s="14">
        <v>15.976393661424481</v>
      </c>
      <c r="J123" s="14">
        <v>88.185450717877345</v>
      </c>
      <c r="K123" s="14">
        <v>10.697908631302456</v>
      </c>
      <c r="L123" s="14">
        <v>27.712338624749389</v>
      </c>
      <c r="M123" s="14">
        <v>77.34163174671896</v>
      </c>
      <c r="N123" s="14">
        <v>67.268568705563197</v>
      </c>
      <c r="O123" s="14">
        <v>9.6350698923570732</v>
      </c>
      <c r="P123" s="14">
        <v>37.650082869914584</v>
      </c>
      <c r="Q123" s="14">
        <v>58.920048172490915</v>
      </c>
      <c r="R123" s="14">
        <v>55.418988983497442</v>
      </c>
      <c r="S123" s="14">
        <v>2.7904595595773518</v>
      </c>
      <c r="T123" s="14">
        <v>25.972022961975238</v>
      </c>
      <c r="U123" s="14">
        <v>4.1968416462589975</v>
      </c>
      <c r="V123" s="14">
        <v>71.076258449426163</v>
      </c>
      <c r="W123" s="14">
        <v>50.871723665697665</v>
      </c>
      <c r="X123" s="14">
        <v>90.318409000353483</v>
      </c>
      <c r="Y123" s="14">
        <v>7.8961279068954893</v>
      </c>
      <c r="Z123" s="14">
        <v>68.603217981281233</v>
      </c>
      <c r="AA123" s="14">
        <v>76.826261649022697</v>
      </c>
      <c r="AB123" s="14">
        <v>93.816118241270061</v>
      </c>
      <c r="AC123" s="14">
        <v>8.5270926739494222</v>
      </c>
      <c r="AD123" s="14">
        <v>48.002684447644327</v>
      </c>
      <c r="AE123" s="14">
        <v>10.149805184217497</v>
      </c>
      <c r="AF123" s="14">
        <v>86.382356204345328</v>
      </c>
      <c r="AG123" s="14">
        <v>69.883026707430062</v>
      </c>
      <c r="AH123" s="14">
        <v>69.416681638350624</v>
      </c>
      <c r="AI123" s="14">
        <v>18.837818293021346</v>
      </c>
      <c r="AJ123" s="14">
        <v>50.506385229174491</v>
      </c>
      <c r="AK123" s="14">
        <v>37.136473472174636</v>
      </c>
      <c r="AL123" s="14">
        <v>67.057138921828297</v>
      </c>
      <c r="AM123" s="14">
        <v>37.005711444709419</v>
      </c>
      <c r="AN123" s="14">
        <v>27.976921367885421</v>
      </c>
      <c r="AO123" s="14">
        <v>98.806314149341148</v>
      </c>
      <c r="AP123" s="14">
        <v>55.58729725625615</v>
      </c>
      <c r="AQ123" s="14">
        <v>49.817359492949166</v>
      </c>
      <c r="AR123" s="14">
        <v>23.003887259877775</v>
      </c>
      <c r="AS123" s="14">
        <v>72.316211248621869</v>
      </c>
      <c r="AT123" s="14">
        <v>9.3280912548194586</v>
      </c>
      <c r="AU123" s="14">
        <v>35.883877767278975</v>
      </c>
      <c r="AV123" s="14">
        <v>24.221335124469356</v>
      </c>
      <c r="AW123" s="14">
        <v>51.941775127903313</v>
      </c>
      <c r="AX123" s="14">
        <v>72.123869068814571</v>
      </c>
      <c r="AY123" s="14">
        <v>45.024759008590785</v>
      </c>
      <c r="AZ123" s="14">
        <v>78.180081558184739</v>
      </c>
      <c r="BA123" s="14">
        <v>98.458972446209771</v>
      </c>
      <c r="BB123" s="14">
        <v>57.335496588258337</v>
      </c>
      <c r="BC123" s="14">
        <v>43.987768402186553</v>
      </c>
      <c r="BD123" s="14">
        <v>75.82248858752682</v>
      </c>
    </row>
    <row r="124" spans="1:56" x14ac:dyDescent="0.3">
      <c r="A124" s="19">
        <v>2016</v>
      </c>
      <c r="B124" s="8" t="s">
        <v>38</v>
      </c>
      <c r="C124" s="8" t="str">
        <f t="shared" si="6"/>
        <v>LA</v>
      </c>
      <c r="D124" s="8" t="str">
        <f t="shared" si="7"/>
        <v>路易斯安那州</v>
      </c>
      <c r="E124" s="15">
        <v>45.591398370013806</v>
      </c>
      <c r="F124" s="15">
        <v>37.397921072439168</v>
      </c>
      <c r="G124" s="15">
        <v>83.596218820019502</v>
      </c>
      <c r="H124" s="15">
        <v>31.497942086550889</v>
      </c>
      <c r="I124" s="15">
        <v>43.747244551159646</v>
      </c>
      <c r="J124" s="15">
        <v>35.965699558458688</v>
      </c>
      <c r="K124" s="15">
        <v>85.226755944536364</v>
      </c>
      <c r="L124" s="15">
        <v>92.795845201373709</v>
      </c>
      <c r="M124" s="15">
        <v>80.797689857280233</v>
      </c>
      <c r="N124" s="15">
        <v>17.467603894937621</v>
      </c>
      <c r="O124" s="15">
        <v>7.869106961032923</v>
      </c>
      <c r="P124" s="15">
        <v>40.731479996184184</v>
      </c>
      <c r="Q124" s="15">
        <v>38.263380622123719</v>
      </c>
      <c r="R124" s="15">
        <v>40.340852292320804</v>
      </c>
      <c r="S124" s="15">
        <v>83.199350362202708</v>
      </c>
      <c r="T124" s="15">
        <v>17.170697898184685</v>
      </c>
      <c r="U124" s="15">
        <v>21.999484503572997</v>
      </c>
      <c r="V124" s="15">
        <v>1.2475760910191647</v>
      </c>
      <c r="W124" s="15">
        <v>79.284100660247617</v>
      </c>
      <c r="X124" s="15">
        <v>80.960669199503926</v>
      </c>
      <c r="Y124" s="15">
        <v>31.209298745755344</v>
      </c>
      <c r="Z124" s="15">
        <v>15.277251301430194</v>
      </c>
      <c r="AA124" s="15">
        <v>60.325520912382927</v>
      </c>
      <c r="AB124" s="15">
        <v>51.22601222751809</v>
      </c>
      <c r="AC124" s="15">
        <v>32.007249078715375</v>
      </c>
      <c r="AD124" s="15">
        <v>64.122195056327726</v>
      </c>
      <c r="AE124" s="15">
        <v>75.502749161847362</v>
      </c>
      <c r="AF124" s="15">
        <v>37.561045066412916</v>
      </c>
      <c r="AG124" s="15">
        <v>76.385613613545445</v>
      </c>
      <c r="AH124" s="15">
        <v>44.387510192502575</v>
      </c>
      <c r="AI124" s="15">
        <v>76.279917359933322</v>
      </c>
      <c r="AJ124" s="15">
        <v>83.636503950587837</v>
      </c>
      <c r="AK124" s="15">
        <v>53.504663244828023</v>
      </c>
      <c r="AL124" s="15">
        <v>41.980004454783106</v>
      </c>
      <c r="AM124" s="15">
        <v>19.09273949950785</v>
      </c>
      <c r="AN124" s="15">
        <v>72.858906545266748</v>
      </c>
      <c r="AO124" s="15">
        <v>64.353589562180872</v>
      </c>
      <c r="AP124" s="15">
        <v>60.180424930089707</v>
      </c>
      <c r="AQ124" s="15">
        <v>29.537470364916054</v>
      </c>
      <c r="AR124" s="15">
        <v>71.215221645066222</v>
      </c>
      <c r="AS124" s="15">
        <v>71.247519740336159</v>
      </c>
      <c r="AT124" s="15">
        <v>52.528433594344918</v>
      </c>
      <c r="AU124" s="15">
        <v>92.132900152475088</v>
      </c>
      <c r="AV124" s="15">
        <v>77.868701970269427</v>
      </c>
      <c r="AW124" s="15">
        <v>34.363957008831704</v>
      </c>
      <c r="AX124" s="15">
        <v>52.701703134183653</v>
      </c>
      <c r="AY124" s="15">
        <v>79.749893794760553</v>
      </c>
      <c r="AZ124" s="15">
        <v>53.475236164584885</v>
      </c>
      <c r="BA124" s="15">
        <v>34.270484590514904</v>
      </c>
      <c r="BB124" s="15">
        <v>94.680235632813194</v>
      </c>
      <c r="BC124" s="15">
        <v>0.42550747525115229</v>
      </c>
      <c r="BD124" s="15">
        <v>50.579152362493865</v>
      </c>
    </row>
    <row r="125" spans="1:56" x14ac:dyDescent="0.3">
      <c r="A125" s="18">
        <v>2016</v>
      </c>
      <c r="B125" s="6" t="s">
        <v>40</v>
      </c>
      <c r="C125" s="6" t="str">
        <f t="shared" si="6"/>
        <v>ME</v>
      </c>
      <c r="D125" s="6" t="str">
        <f t="shared" si="7"/>
        <v>缅因州</v>
      </c>
      <c r="E125" s="14">
        <v>70.007052822153057</v>
      </c>
      <c r="F125" s="14">
        <v>20.737243643235804</v>
      </c>
      <c r="G125" s="14">
        <v>26.314380352547452</v>
      </c>
      <c r="H125" s="14">
        <v>95.137140824285183</v>
      </c>
      <c r="I125" s="14">
        <v>3.3600850997277942</v>
      </c>
      <c r="J125" s="14">
        <v>20.602910676316188</v>
      </c>
      <c r="K125" s="14">
        <v>89.076845043156155</v>
      </c>
      <c r="L125" s="14">
        <v>14.000967530593822</v>
      </c>
      <c r="M125" s="14">
        <v>74.740072487188257</v>
      </c>
      <c r="N125" s="14">
        <v>23.379071654675563</v>
      </c>
      <c r="O125" s="14">
        <v>29.488291651412833</v>
      </c>
      <c r="P125" s="14">
        <v>24.357327249022063</v>
      </c>
      <c r="Q125" s="14">
        <v>89.732419023646699</v>
      </c>
      <c r="R125" s="14">
        <v>82.005996088041528</v>
      </c>
      <c r="S125" s="14">
        <v>62.352945270736861</v>
      </c>
      <c r="T125" s="14">
        <v>40.902354786310454</v>
      </c>
      <c r="U125" s="14">
        <v>5.8925709959193773</v>
      </c>
      <c r="V125" s="14">
        <v>77.70366169354331</v>
      </c>
      <c r="W125" s="14">
        <v>53.120981029552517</v>
      </c>
      <c r="X125" s="14">
        <v>13.272957514191253</v>
      </c>
      <c r="Y125" s="14">
        <v>9.8189961611371839</v>
      </c>
      <c r="Z125" s="14">
        <v>22.996006761528363</v>
      </c>
      <c r="AA125" s="14">
        <v>77.786645610082743</v>
      </c>
      <c r="AB125" s="14">
        <v>28.496910182228806</v>
      </c>
      <c r="AC125" s="14">
        <v>69.939718065283856</v>
      </c>
      <c r="AD125" s="14">
        <v>43.843023354877722</v>
      </c>
      <c r="AE125" s="14">
        <v>24.412044595587446</v>
      </c>
      <c r="AF125" s="14">
        <v>40.147421224206511</v>
      </c>
      <c r="AG125" s="14">
        <v>85.085765814183873</v>
      </c>
      <c r="AH125" s="14">
        <v>73.17811765695464</v>
      </c>
      <c r="AI125" s="14">
        <v>35.028260269947388</v>
      </c>
      <c r="AJ125" s="14">
        <v>63.473526097229282</v>
      </c>
      <c r="AK125" s="14">
        <v>70.59954259238242</v>
      </c>
      <c r="AL125" s="14">
        <v>22.877588493696067</v>
      </c>
      <c r="AM125" s="14">
        <v>39.89632621848159</v>
      </c>
      <c r="AN125" s="14">
        <v>94.198760811902019</v>
      </c>
      <c r="AO125" s="14">
        <v>91.663790170491183</v>
      </c>
      <c r="AP125" s="14">
        <v>53.618175520314658</v>
      </c>
      <c r="AQ125" s="14">
        <v>11.330654206663926</v>
      </c>
      <c r="AR125" s="14">
        <v>53.656500876812331</v>
      </c>
      <c r="AS125" s="14">
        <v>82.810394196099068</v>
      </c>
      <c r="AT125" s="14">
        <v>41.335005804799565</v>
      </c>
      <c r="AU125" s="14">
        <v>77.354860480880873</v>
      </c>
      <c r="AV125" s="14">
        <v>39.088272818765844</v>
      </c>
      <c r="AW125" s="14">
        <v>70.591702927448196</v>
      </c>
      <c r="AX125" s="14">
        <v>46.802773845853331</v>
      </c>
      <c r="AY125" s="14">
        <v>44.248738888486493</v>
      </c>
      <c r="AZ125" s="14">
        <v>36.047871752094892</v>
      </c>
      <c r="BA125" s="14">
        <v>15.051421226862505</v>
      </c>
      <c r="BB125" s="14">
        <v>29.117265544287307</v>
      </c>
      <c r="BC125" s="14">
        <v>84.810884764327881</v>
      </c>
      <c r="BD125" s="14">
        <v>24.722803416348128</v>
      </c>
    </row>
    <row r="126" spans="1:56" x14ac:dyDescent="0.3">
      <c r="A126" s="19">
        <v>2016</v>
      </c>
      <c r="B126" s="8" t="s">
        <v>42</v>
      </c>
      <c r="C126" s="8" t="str">
        <f t="shared" si="6"/>
        <v>MD</v>
      </c>
      <c r="D126" s="8" t="str">
        <f t="shared" si="7"/>
        <v>马里兰</v>
      </c>
      <c r="E126" s="15">
        <v>4.929830632345622</v>
      </c>
      <c r="F126" s="15">
        <v>96.571177340006813</v>
      </c>
      <c r="G126" s="15">
        <v>45.526329054271784</v>
      </c>
      <c r="H126" s="15">
        <v>77.650872123689794</v>
      </c>
      <c r="I126" s="15">
        <v>76.322264991958647</v>
      </c>
      <c r="J126" s="15">
        <v>98.135850706994376</v>
      </c>
      <c r="K126" s="15">
        <v>47.346827554987868</v>
      </c>
      <c r="L126" s="15">
        <v>24.117171358591282</v>
      </c>
      <c r="M126" s="15">
        <v>97.210950143341151</v>
      </c>
      <c r="N126" s="15">
        <v>94.338187203435069</v>
      </c>
      <c r="O126" s="15">
        <v>78.450092271359509</v>
      </c>
      <c r="P126" s="15">
        <v>86.778812720907879</v>
      </c>
      <c r="Q126" s="15">
        <v>40.543905422176039</v>
      </c>
      <c r="R126" s="15">
        <v>72.718579777689513</v>
      </c>
      <c r="S126" s="15">
        <v>81.884320122691179</v>
      </c>
      <c r="T126" s="15">
        <v>38.586668212213091</v>
      </c>
      <c r="U126" s="15">
        <v>74.254892736098881</v>
      </c>
      <c r="V126" s="15">
        <v>65.386499726523596</v>
      </c>
      <c r="W126" s="15">
        <v>89.632477655594172</v>
      </c>
      <c r="X126" s="15">
        <v>37.797460104596269</v>
      </c>
      <c r="Y126" s="15">
        <v>68.51363853392148</v>
      </c>
      <c r="Z126" s="15">
        <v>19.663344673145378</v>
      </c>
      <c r="AA126" s="15">
        <v>47.034235693052509</v>
      </c>
      <c r="AB126" s="15">
        <v>3.9750052748370734</v>
      </c>
      <c r="AC126" s="15">
        <v>1.9912382011512242</v>
      </c>
      <c r="AD126" s="15">
        <v>24.944169863028275</v>
      </c>
      <c r="AE126" s="15">
        <v>89.541604868324683</v>
      </c>
      <c r="AF126" s="15">
        <v>92.196801396874733</v>
      </c>
      <c r="AG126" s="15">
        <v>34.215596287154526</v>
      </c>
      <c r="AH126" s="15">
        <v>58.75028197682424</v>
      </c>
      <c r="AI126" s="15">
        <v>78.301754302332753</v>
      </c>
      <c r="AJ126" s="15">
        <v>23.667976953654847</v>
      </c>
      <c r="AK126" s="15">
        <v>2.4626054881364379</v>
      </c>
      <c r="AL126" s="15">
        <v>53.153843725076158</v>
      </c>
      <c r="AM126" s="15">
        <v>43.376176609690575</v>
      </c>
      <c r="AN126" s="15">
        <v>37.771785769656127</v>
      </c>
      <c r="AO126" s="15">
        <v>83.921070662328106</v>
      </c>
      <c r="AP126" s="15">
        <v>70.84571931497274</v>
      </c>
      <c r="AQ126" s="15">
        <v>82.592032727442728</v>
      </c>
      <c r="AR126" s="15">
        <v>54.571951072926616</v>
      </c>
      <c r="AS126" s="15">
        <v>55.032712728902801</v>
      </c>
      <c r="AT126" s="15">
        <v>30.223060003285084</v>
      </c>
      <c r="AU126" s="15">
        <v>75.05436597053</v>
      </c>
      <c r="AV126" s="15">
        <v>51.881584195363097</v>
      </c>
      <c r="AW126" s="15">
        <v>31.620883714998392</v>
      </c>
      <c r="AX126" s="15">
        <v>36.491891070571199</v>
      </c>
      <c r="AY126" s="15">
        <v>26.095429612160025</v>
      </c>
      <c r="AZ126" s="15">
        <v>10.9480548482227</v>
      </c>
      <c r="BA126" s="15">
        <v>97.890942141683013</v>
      </c>
      <c r="BB126" s="15">
        <v>97.901208338123382</v>
      </c>
      <c r="BC126" s="15">
        <v>70.494362676698458</v>
      </c>
      <c r="BD126" s="15">
        <v>99.370850642102766</v>
      </c>
    </row>
    <row r="127" spans="1:56" x14ac:dyDescent="0.3">
      <c r="A127" s="18">
        <v>2016</v>
      </c>
      <c r="B127" s="6" t="s">
        <v>44</v>
      </c>
      <c r="C127" s="6" t="str">
        <f t="shared" si="6"/>
        <v>MA</v>
      </c>
      <c r="D127" s="6" t="str">
        <f t="shared" si="7"/>
        <v>麻萨诸塞州</v>
      </c>
      <c r="E127" s="14">
        <v>6.0425962994626881</v>
      </c>
      <c r="F127" s="14">
        <v>6.1134591803141074</v>
      </c>
      <c r="G127" s="14">
        <v>11.4215787029599</v>
      </c>
      <c r="H127" s="14">
        <v>20.371062728943912</v>
      </c>
      <c r="I127" s="14">
        <v>82.920822681461857</v>
      </c>
      <c r="J127" s="14">
        <v>32.878090339501362</v>
      </c>
      <c r="K127" s="14">
        <v>52.019881484239384</v>
      </c>
      <c r="L127" s="14">
        <v>25.347334188455171</v>
      </c>
      <c r="M127" s="14">
        <v>47.692768051741965</v>
      </c>
      <c r="N127" s="14">
        <v>83.886253239503816</v>
      </c>
      <c r="O127" s="14">
        <v>48.838737755416282</v>
      </c>
      <c r="P127" s="14">
        <v>4.4277975632887596</v>
      </c>
      <c r="Q127" s="14">
        <v>44.368965808823191</v>
      </c>
      <c r="R127" s="14">
        <v>1.6743605281220764</v>
      </c>
      <c r="S127" s="14">
        <v>53.115522513160784</v>
      </c>
      <c r="T127" s="14">
        <v>51.805355846676584</v>
      </c>
      <c r="U127" s="14">
        <v>3.793726133198283</v>
      </c>
      <c r="V127" s="14">
        <v>30.809946245293407</v>
      </c>
      <c r="W127" s="14">
        <v>2.9018584371938938</v>
      </c>
      <c r="X127" s="14">
        <v>30.637893154118366</v>
      </c>
      <c r="Y127" s="14">
        <v>30.907823850719517</v>
      </c>
      <c r="Z127" s="14">
        <v>72.30141406069454</v>
      </c>
      <c r="AA127" s="14">
        <v>78.677500571799499</v>
      </c>
      <c r="AB127" s="14">
        <v>86.147978925887998</v>
      </c>
      <c r="AC127" s="14">
        <v>96.011982878973811</v>
      </c>
      <c r="AD127" s="14">
        <v>37.586068753134462</v>
      </c>
      <c r="AE127" s="14">
        <v>3.3572011187402828</v>
      </c>
      <c r="AF127" s="14">
        <v>31.523115923190616</v>
      </c>
      <c r="AG127" s="14">
        <v>74.556660697084013</v>
      </c>
      <c r="AH127" s="14">
        <v>92.579464969856517</v>
      </c>
      <c r="AI127" s="14">
        <v>48.054842826600421</v>
      </c>
      <c r="AJ127" s="14">
        <v>57.937791694835013</v>
      </c>
      <c r="AK127" s="14">
        <v>32.409479449054125</v>
      </c>
      <c r="AL127" s="14">
        <v>39.420309227631755</v>
      </c>
      <c r="AM127" s="14">
        <v>45.858747893736847</v>
      </c>
      <c r="AN127" s="14">
        <v>37.363918562073941</v>
      </c>
      <c r="AO127" s="14">
        <v>35.856222885106263</v>
      </c>
      <c r="AP127" s="14">
        <v>68.532947626201903</v>
      </c>
      <c r="AQ127" s="14">
        <v>2.7766784427672775</v>
      </c>
      <c r="AR127" s="14">
        <v>61.468444910290962</v>
      </c>
      <c r="AS127" s="14">
        <v>84.566444073886728</v>
      </c>
      <c r="AT127" s="14">
        <v>9.9830617019420309</v>
      </c>
      <c r="AU127" s="14">
        <v>7.4418690128568166</v>
      </c>
      <c r="AV127" s="14">
        <v>33.836782019642762</v>
      </c>
      <c r="AW127" s="14">
        <v>42.051941211761203</v>
      </c>
      <c r="AX127" s="14">
        <v>67.75231236825195</v>
      </c>
      <c r="AY127" s="14">
        <v>10.264777156198923</v>
      </c>
      <c r="AZ127" s="14">
        <v>43.042965065050467</v>
      </c>
      <c r="BA127" s="14">
        <v>62.515641617851855</v>
      </c>
      <c r="BB127" s="14">
        <v>55.748820363591193</v>
      </c>
      <c r="BC127" s="14">
        <v>66.928084163014361</v>
      </c>
      <c r="BD127" s="14">
        <v>58.344735883618014</v>
      </c>
    </row>
    <row r="128" spans="1:56" x14ac:dyDescent="0.3">
      <c r="A128" s="19">
        <v>2016</v>
      </c>
      <c r="B128" s="8" t="s">
        <v>46</v>
      </c>
      <c r="C128" s="8" t="str">
        <f t="shared" si="6"/>
        <v>MI</v>
      </c>
      <c r="D128" s="8" t="str">
        <f t="shared" si="7"/>
        <v>密歇根</v>
      </c>
      <c r="E128" s="15">
        <v>0.8608709405166004</v>
      </c>
      <c r="F128" s="15">
        <v>15.114203156868665</v>
      </c>
      <c r="G128" s="15">
        <v>53.18696149877713</v>
      </c>
      <c r="H128" s="15">
        <v>59.640247249609367</v>
      </c>
      <c r="I128" s="15">
        <v>72.370896623793641</v>
      </c>
      <c r="J128" s="15">
        <v>43.63007506667558</v>
      </c>
      <c r="K128" s="15">
        <v>40.493875524802803</v>
      </c>
      <c r="L128" s="15">
        <v>6.8917007701966515</v>
      </c>
      <c r="M128" s="15">
        <v>63.680610817821304</v>
      </c>
      <c r="N128" s="15">
        <v>30.383394702114753</v>
      </c>
      <c r="O128" s="15">
        <v>99.950282541800078</v>
      </c>
      <c r="P128" s="15">
        <v>64.664288009660254</v>
      </c>
      <c r="Q128" s="15">
        <v>51.753991497748075</v>
      </c>
      <c r="R128" s="15">
        <v>10.906519448406337</v>
      </c>
      <c r="S128" s="15">
        <v>36.370465442251728</v>
      </c>
      <c r="T128" s="15">
        <v>31.355720522698817</v>
      </c>
      <c r="U128" s="15">
        <v>88.963874648725451</v>
      </c>
      <c r="V128" s="15">
        <v>5.9666775096597675</v>
      </c>
      <c r="W128" s="15">
        <v>46.918534293405777</v>
      </c>
      <c r="X128" s="15">
        <v>54.506192504892738</v>
      </c>
      <c r="Y128" s="15">
        <v>36.255640116099904</v>
      </c>
      <c r="Z128" s="15">
        <v>53.673242018817589</v>
      </c>
      <c r="AA128" s="15">
        <v>46.140191449945355</v>
      </c>
      <c r="AB128" s="15">
        <v>33.103127109327843</v>
      </c>
      <c r="AC128" s="15">
        <v>8.3438060522492705</v>
      </c>
      <c r="AD128" s="15">
        <v>40.683381894382201</v>
      </c>
      <c r="AE128" s="15">
        <v>74.544690523327787</v>
      </c>
      <c r="AF128" s="15">
        <v>9.5382046936881011</v>
      </c>
      <c r="AG128" s="15">
        <v>70.718288225194271</v>
      </c>
      <c r="AH128" s="15">
        <v>41.916724345845054</v>
      </c>
      <c r="AI128" s="15">
        <v>75.883985803587976</v>
      </c>
      <c r="AJ128" s="15">
        <v>13.608579181999625</v>
      </c>
      <c r="AK128" s="15">
        <v>78.550997776082085</v>
      </c>
      <c r="AL128" s="15">
        <v>62.215603634048712</v>
      </c>
      <c r="AM128" s="15">
        <v>19.40322577778214</v>
      </c>
      <c r="AN128" s="15">
        <v>79.348480882298929</v>
      </c>
      <c r="AO128" s="15">
        <v>2.7835714843840176</v>
      </c>
      <c r="AP128" s="15">
        <v>96.191188277556719</v>
      </c>
      <c r="AQ128" s="15">
        <v>6.5746592103214869</v>
      </c>
      <c r="AR128" s="15">
        <v>58.873855580232906</v>
      </c>
      <c r="AS128" s="15">
        <v>32.680198957881288</v>
      </c>
      <c r="AT128" s="15">
        <v>85.88147713235189</v>
      </c>
      <c r="AU128" s="15">
        <v>48.218207320193116</v>
      </c>
      <c r="AV128" s="15">
        <v>92.531047873394499</v>
      </c>
      <c r="AW128" s="15">
        <v>58.239827355065742</v>
      </c>
      <c r="AX128" s="15">
        <v>4.0696824875515292</v>
      </c>
      <c r="AY128" s="15">
        <v>48.893098244208254</v>
      </c>
      <c r="AZ128" s="15">
        <v>42.907555178760127</v>
      </c>
      <c r="BA128" s="15">
        <v>28.812009376286586</v>
      </c>
      <c r="BB128" s="15">
        <v>20.552115669487836</v>
      </c>
      <c r="BC128" s="15">
        <v>76.704923760517033</v>
      </c>
      <c r="BD128" s="15">
        <v>11.302270175806983</v>
      </c>
    </row>
    <row r="129" spans="1:56" x14ac:dyDescent="0.3">
      <c r="A129" s="18">
        <v>2016</v>
      </c>
      <c r="B129" s="6" t="s">
        <v>48</v>
      </c>
      <c r="C129" s="6" t="str">
        <f t="shared" si="6"/>
        <v>MN</v>
      </c>
      <c r="D129" s="6" t="str">
        <f t="shared" si="7"/>
        <v>明尼苏达州</v>
      </c>
      <c r="E129" s="14">
        <v>86.22601163125475</v>
      </c>
      <c r="F129" s="14">
        <v>29.528796986635207</v>
      </c>
      <c r="G129" s="14">
        <v>30.125487941266005</v>
      </c>
      <c r="H129" s="14">
        <v>18.266415479845023</v>
      </c>
      <c r="I129" s="14">
        <v>29.40104217525279</v>
      </c>
      <c r="J129" s="14">
        <v>88.13532839354059</v>
      </c>
      <c r="K129" s="14">
        <v>87.363506848879993</v>
      </c>
      <c r="L129" s="14">
        <v>78.82640450248276</v>
      </c>
      <c r="M129" s="14">
        <v>75.578218794781463</v>
      </c>
      <c r="N129" s="14">
        <v>66.126517162179084</v>
      </c>
      <c r="O129" s="14">
        <v>76.674788513709402</v>
      </c>
      <c r="P129" s="14">
        <v>9.618291323231599</v>
      </c>
      <c r="Q129" s="14">
        <v>28.401026127912289</v>
      </c>
      <c r="R129" s="14">
        <v>5.5487495501506112</v>
      </c>
      <c r="S129" s="14">
        <v>19.365439566528909</v>
      </c>
      <c r="T129" s="14">
        <v>15.458296383538904</v>
      </c>
      <c r="U129" s="14">
        <v>73.395079346400976</v>
      </c>
      <c r="V129" s="14">
        <v>99.910674887002486</v>
      </c>
      <c r="W129" s="14">
        <v>25.402952318358707</v>
      </c>
      <c r="X129" s="14">
        <v>9.4924525622804836</v>
      </c>
      <c r="Y129" s="14">
        <v>11.27895906417784</v>
      </c>
      <c r="Z129" s="14">
        <v>97.006602249573987</v>
      </c>
      <c r="AA129" s="14">
        <v>56.375604659622468</v>
      </c>
      <c r="AB129" s="14">
        <v>17.647127182361857</v>
      </c>
      <c r="AC129" s="14">
        <v>89.306260745904666</v>
      </c>
      <c r="AD129" s="14">
        <v>85.692801874904774</v>
      </c>
      <c r="AE129" s="14">
        <v>97.020232217788475</v>
      </c>
      <c r="AF129" s="14">
        <v>99.618563366982542</v>
      </c>
      <c r="AG129" s="14">
        <v>93.30036091979666</v>
      </c>
      <c r="AH129" s="14">
        <v>89.643085859156116</v>
      </c>
      <c r="AI129" s="14">
        <v>52.055645273613763</v>
      </c>
      <c r="AJ129" s="14">
        <v>30.641599058191147</v>
      </c>
      <c r="AK129" s="14">
        <v>50.223143514808321</v>
      </c>
      <c r="AL129" s="14">
        <v>32.32864305794967</v>
      </c>
      <c r="AM129" s="14">
        <v>81.531774239534002</v>
      </c>
      <c r="AN129" s="14">
        <v>22.930389206206659</v>
      </c>
      <c r="AO129" s="14">
        <v>26.033458387249865</v>
      </c>
      <c r="AP129" s="14">
        <v>69.076586045080688</v>
      </c>
      <c r="AQ129" s="14">
        <v>51.177174072037033</v>
      </c>
      <c r="AR129" s="14">
        <v>10.64895622469666</v>
      </c>
      <c r="AS129" s="14">
        <v>57.141019748344071</v>
      </c>
      <c r="AT129" s="14">
        <v>23.115334828783173</v>
      </c>
      <c r="AU129" s="14">
        <v>92.332608580264861</v>
      </c>
      <c r="AV129" s="14">
        <v>87.343999326433533</v>
      </c>
      <c r="AW129" s="14">
        <v>10.19633302647599</v>
      </c>
      <c r="AX129" s="14">
        <v>68.22639861691367</v>
      </c>
      <c r="AY129" s="14">
        <v>46.522494595623421</v>
      </c>
      <c r="AZ129" s="14">
        <v>37.412800093375807</v>
      </c>
      <c r="BA129" s="14">
        <v>5.668460760549932</v>
      </c>
      <c r="BB129" s="14">
        <v>26.171538135107131</v>
      </c>
      <c r="BC129" s="14">
        <v>82.200869998701592</v>
      </c>
      <c r="BD129" s="14">
        <v>85.679935019461567</v>
      </c>
    </row>
    <row r="130" spans="1:56" x14ac:dyDescent="0.3">
      <c r="A130" s="19">
        <v>2016</v>
      </c>
      <c r="B130" s="8" t="s">
        <v>50</v>
      </c>
      <c r="C130" s="8" t="str">
        <f t="shared" ref="C130:C157" si="8">VLOOKUP(B130,INEXES,2,0)</f>
        <v>MS</v>
      </c>
      <c r="D130" s="8" t="str">
        <f t="shared" ref="D130:D157" si="9">VLOOKUP(B130,INEXES,3,0)</f>
        <v>密西西比州</v>
      </c>
      <c r="E130" s="15">
        <v>99.740766927689364</v>
      </c>
      <c r="F130" s="15">
        <v>27.402605477198282</v>
      </c>
      <c r="G130" s="15">
        <v>68.459032886400564</v>
      </c>
      <c r="H130" s="15">
        <v>22.887633536624485</v>
      </c>
      <c r="I130" s="15">
        <v>63.798211379509617</v>
      </c>
      <c r="J130" s="15">
        <v>33.234671188496868</v>
      </c>
      <c r="K130" s="15">
        <v>45.096765274983341</v>
      </c>
      <c r="L130" s="15">
        <v>13.090205833091106</v>
      </c>
      <c r="M130" s="15">
        <v>1.7924720930384885</v>
      </c>
      <c r="N130" s="15">
        <v>39.557310803207734</v>
      </c>
      <c r="O130" s="15">
        <v>95.318970539031397</v>
      </c>
      <c r="P130" s="15">
        <v>98.514686711363026</v>
      </c>
      <c r="Q130" s="15">
        <v>49.57254974755697</v>
      </c>
      <c r="R130" s="15">
        <v>60.905417249700314</v>
      </c>
      <c r="S130" s="15">
        <v>60.739522558942717</v>
      </c>
      <c r="T130" s="15">
        <v>48.870234418366024</v>
      </c>
      <c r="U130" s="15">
        <v>66.584971330661261</v>
      </c>
      <c r="V130" s="15">
        <v>85.329584897466802</v>
      </c>
      <c r="W130" s="15">
        <v>14.162920045218996</v>
      </c>
      <c r="X130" s="15">
        <v>52.481146186259629</v>
      </c>
      <c r="Y130" s="15">
        <v>81.045407845693177</v>
      </c>
      <c r="Z130" s="15">
        <v>60.417468886609115</v>
      </c>
      <c r="AA130" s="15">
        <v>0.5371088611484387</v>
      </c>
      <c r="AB130" s="15">
        <v>95.037462215077539</v>
      </c>
      <c r="AC130" s="15">
        <v>7.7362451384994984</v>
      </c>
      <c r="AD130" s="15">
        <v>14.39739785141313</v>
      </c>
      <c r="AE130" s="15">
        <v>85.854950844064717</v>
      </c>
      <c r="AF130" s="15">
        <v>48.825554736593013</v>
      </c>
      <c r="AG130" s="15">
        <v>74.379831320294088</v>
      </c>
      <c r="AH130" s="15">
        <v>74.367571671993176</v>
      </c>
      <c r="AI130" s="15">
        <v>61.453485015424455</v>
      </c>
      <c r="AJ130" s="15">
        <v>71.715818942869063</v>
      </c>
      <c r="AK130" s="15">
        <v>77.651988644966053</v>
      </c>
      <c r="AL130" s="15">
        <v>27.890718868388287</v>
      </c>
      <c r="AM130" s="15">
        <v>9.3906360890839924</v>
      </c>
      <c r="AN130" s="15">
        <v>2.5038469911600081</v>
      </c>
      <c r="AO130" s="15">
        <v>75.699337848810856</v>
      </c>
      <c r="AP130" s="15">
        <v>85.623597499756485</v>
      </c>
      <c r="AQ130" s="15">
        <v>4.0696436120680186</v>
      </c>
      <c r="AR130" s="15">
        <v>79.186126083719529</v>
      </c>
      <c r="AS130" s="15">
        <v>50.693183526483665</v>
      </c>
      <c r="AT130" s="15">
        <v>3.5676367177302049</v>
      </c>
      <c r="AU130" s="15">
        <v>85.697032289401164</v>
      </c>
      <c r="AV130" s="15">
        <v>25.720195697736202</v>
      </c>
      <c r="AW130" s="15">
        <v>58.929012691619818</v>
      </c>
      <c r="AX130" s="15">
        <v>96.580761964934965</v>
      </c>
      <c r="AY130" s="15">
        <v>16.54808265856953</v>
      </c>
      <c r="AZ130" s="15">
        <v>84.13207435595568</v>
      </c>
      <c r="BA130" s="15">
        <v>3.6590259138644332</v>
      </c>
      <c r="BB130" s="15">
        <v>41.916375709707445</v>
      </c>
      <c r="BC130" s="15">
        <v>76.282310000835395</v>
      </c>
      <c r="BD130" s="15">
        <v>97.757537066005426</v>
      </c>
    </row>
    <row r="131" spans="1:56" x14ac:dyDescent="0.3">
      <c r="A131" s="18">
        <v>2016</v>
      </c>
      <c r="B131" s="6" t="s">
        <v>52</v>
      </c>
      <c r="C131" s="6" t="str">
        <f t="shared" si="8"/>
        <v>MO</v>
      </c>
      <c r="D131" s="6" t="str">
        <f t="shared" si="9"/>
        <v>密苏里州</v>
      </c>
      <c r="E131" s="14">
        <v>10.87808210344361</v>
      </c>
      <c r="F131" s="14">
        <v>78.668067119655305</v>
      </c>
      <c r="G131" s="14">
        <v>32.031320280696249</v>
      </c>
      <c r="H131" s="14">
        <v>95.686580973936131</v>
      </c>
      <c r="I131" s="14">
        <v>24.476839015203169</v>
      </c>
      <c r="J131" s="14">
        <v>67.937603775707274</v>
      </c>
      <c r="K131" s="14">
        <v>41.966228945561809</v>
      </c>
      <c r="L131" s="14">
        <v>39.448841016555825</v>
      </c>
      <c r="M131" s="14">
        <v>47.236308166468199</v>
      </c>
      <c r="N131" s="14">
        <v>90.253040104698059</v>
      </c>
      <c r="O131" s="14">
        <v>60.557983733249756</v>
      </c>
      <c r="P131" s="14">
        <v>79.517460364887867</v>
      </c>
      <c r="Q131" s="14">
        <v>75.788995727243503</v>
      </c>
      <c r="R131" s="14">
        <v>20.666775480969825</v>
      </c>
      <c r="S131" s="14">
        <v>45.906331592933881</v>
      </c>
      <c r="T131" s="14">
        <v>83.24551969670128</v>
      </c>
      <c r="U131" s="14">
        <v>77.039721751658561</v>
      </c>
      <c r="V131" s="14">
        <v>31.387165217775216</v>
      </c>
      <c r="W131" s="14">
        <v>96.067827911955732</v>
      </c>
      <c r="X131" s="14">
        <v>27.881894493470639</v>
      </c>
      <c r="Y131" s="14">
        <v>19.288320197760832</v>
      </c>
      <c r="Z131" s="14">
        <v>4.3711104998818584</v>
      </c>
      <c r="AA131" s="14">
        <v>57.897412748768382</v>
      </c>
      <c r="AB131" s="14">
        <v>74.737904649067673</v>
      </c>
      <c r="AC131" s="14">
        <v>71.815539796327045</v>
      </c>
      <c r="AD131" s="14">
        <v>75.919661134556648</v>
      </c>
      <c r="AE131" s="14">
        <v>96.016616401267186</v>
      </c>
      <c r="AF131" s="14">
        <v>52.857591511380107</v>
      </c>
      <c r="AG131" s="14">
        <v>14.523736579492219</v>
      </c>
      <c r="AH131" s="14">
        <v>62.339317934596949</v>
      </c>
      <c r="AI131" s="14">
        <v>18.464813341960774</v>
      </c>
      <c r="AJ131" s="14">
        <v>93.741362073152729</v>
      </c>
      <c r="AK131" s="14">
        <v>36.905548515235672</v>
      </c>
      <c r="AL131" s="14">
        <v>47.401323934851746</v>
      </c>
      <c r="AM131" s="14">
        <v>16.076663446842964</v>
      </c>
      <c r="AN131" s="14">
        <v>17.425653561395116</v>
      </c>
      <c r="AO131" s="14">
        <v>34.227862430842912</v>
      </c>
      <c r="AP131" s="14">
        <v>41.758900265605639</v>
      </c>
      <c r="AQ131" s="14">
        <v>42.477422587287208</v>
      </c>
      <c r="AR131" s="14">
        <v>83.141687926383668</v>
      </c>
      <c r="AS131" s="14">
        <v>50.330895262981237</v>
      </c>
      <c r="AT131" s="14">
        <v>65.43058063791338</v>
      </c>
      <c r="AU131" s="14">
        <v>59.223542843303214</v>
      </c>
      <c r="AV131" s="14">
        <v>63.919203070617684</v>
      </c>
      <c r="AW131" s="14">
        <v>95.789912474301047</v>
      </c>
      <c r="AX131" s="14">
        <v>80.242644090016697</v>
      </c>
      <c r="AY131" s="14">
        <v>95.056285822788681</v>
      </c>
      <c r="AZ131" s="14">
        <v>13.308083720655173</v>
      </c>
      <c r="BA131" s="14">
        <v>37.02343439607133</v>
      </c>
      <c r="BB131" s="14">
        <v>65.630865301707388</v>
      </c>
      <c r="BC131" s="14">
        <v>7.6690465263615</v>
      </c>
      <c r="BD131" s="14">
        <v>37.147286920709142</v>
      </c>
    </row>
    <row r="132" spans="1:56" x14ac:dyDescent="0.3">
      <c r="A132" s="19">
        <v>2016</v>
      </c>
      <c r="B132" s="8" t="s">
        <v>54</v>
      </c>
      <c r="C132" s="8" t="str">
        <f t="shared" si="8"/>
        <v>MT</v>
      </c>
      <c r="D132" s="8" t="str">
        <f t="shared" si="9"/>
        <v>蒙大拿</v>
      </c>
      <c r="E132" s="15">
        <v>27.661303659818216</v>
      </c>
      <c r="F132" s="15">
        <v>25.055481754854924</v>
      </c>
      <c r="G132" s="15">
        <v>81.609753839734125</v>
      </c>
      <c r="H132" s="15">
        <v>45.933301831465556</v>
      </c>
      <c r="I132" s="15">
        <v>85.121946746377247</v>
      </c>
      <c r="J132" s="15">
        <v>65.253289521242351</v>
      </c>
      <c r="K132" s="15">
        <v>5.7986367833989139</v>
      </c>
      <c r="L132" s="15">
        <v>7.4508356594887637</v>
      </c>
      <c r="M132" s="15">
        <v>35.380868861573454</v>
      </c>
      <c r="N132" s="15">
        <v>61.517829274597801</v>
      </c>
      <c r="O132" s="15">
        <v>71.553525663358769</v>
      </c>
      <c r="P132" s="15">
        <v>22.314690871020737</v>
      </c>
      <c r="Q132" s="15">
        <v>13.475383934255536</v>
      </c>
      <c r="R132" s="15">
        <v>98.366286583057288</v>
      </c>
      <c r="S132" s="15">
        <v>49.394128041737162</v>
      </c>
      <c r="T132" s="15">
        <v>82.975695029198022</v>
      </c>
      <c r="U132" s="15">
        <v>92.426421007544349</v>
      </c>
      <c r="V132" s="15">
        <v>68.913993420867229</v>
      </c>
      <c r="W132" s="15">
        <v>23.743697065226666</v>
      </c>
      <c r="X132" s="15">
        <v>83.217291870904958</v>
      </c>
      <c r="Y132" s="15">
        <v>65.784152524688409</v>
      </c>
      <c r="Z132" s="15">
        <v>34.711087569064766</v>
      </c>
      <c r="AA132" s="15">
        <v>81.164154070020473</v>
      </c>
      <c r="AB132" s="15">
        <v>95.03868898826083</v>
      </c>
      <c r="AC132" s="15">
        <v>18.862865216331848</v>
      </c>
      <c r="AD132" s="15">
        <v>45.88370717189607</v>
      </c>
      <c r="AE132" s="15">
        <v>21.695223239839802</v>
      </c>
      <c r="AF132" s="15">
        <v>76.431625881621954</v>
      </c>
      <c r="AG132" s="15">
        <v>45.732070699739992</v>
      </c>
      <c r="AH132" s="15">
        <v>63.979723549234144</v>
      </c>
      <c r="AI132" s="15">
        <v>44.205818694361788</v>
      </c>
      <c r="AJ132" s="15">
        <v>19.79765782233973</v>
      </c>
      <c r="AK132" s="15">
        <v>88.083026081764345</v>
      </c>
      <c r="AL132" s="15">
        <v>81.620460332282235</v>
      </c>
      <c r="AM132" s="15">
        <v>89.040819876230628</v>
      </c>
      <c r="AN132" s="15">
        <v>80.713407765100897</v>
      </c>
      <c r="AO132" s="15">
        <v>17.447793467662031</v>
      </c>
      <c r="AP132" s="15">
        <v>18.952653196214786</v>
      </c>
      <c r="AQ132" s="15">
        <v>90.061017497267201</v>
      </c>
      <c r="AR132" s="15">
        <v>38.955859516488253</v>
      </c>
      <c r="AS132" s="15">
        <v>70.572034670840651</v>
      </c>
      <c r="AT132" s="15">
        <v>42.237267659868749</v>
      </c>
      <c r="AU132" s="15">
        <v>79.136023944876726</v>
      </c>
      <c r="AV132" s="15">
        <v>83.703515883860447</v>
      </c>
      <c r="AW132" s="15">
        <v>47.331951813228336</v>
      </c>
      <c r="AX132" s="15">
        <v>40.463061428875982</v>
      </c>
      <c r="AY132" s="15">
        <v>44.475387680731849</v>
      </c>
      <c r="AZ132" s="15">
        <v>8.2160038164849745</v>
      </c>
      <c r="BA132" s="15">
        <v>14.138634282297669</v>
      </c>
      <c r="BB132" s="15">
        <v>35.693486513018989</v>
      </c>
      <c r="BC132" s="15">
        <v>58.501634373618373</v>
      </c>
      <c r="BD132" s="15">
        <v>50.130833488563752</v>
      </c>
    </row>
    <row r="133" spans="1:56" x14ac:dyDescent="0.3">
      <c r="A133" s="18">
        <v>2016</v>
      </c>
      <c r="B133" s="6" t="s">
        <v>56</v>
      </c>
      <c r="C133" s="6" t="str">
        <f t="shared" si="8"/>
        <v>NE</v>
      </c>
      <c r="D133" s="6" t="str">
        <f t="shared" si="9"/>
        <v>内布拉斯加州</v>
      </c>
      <c r="E133" s="14">
        <v>27.133670576159684</v>
      </c>
      <c r="F133" s="14">
        <v>11.202453186473937</v>
      </c>
      <c r="G133" s="14">
        <v>23.181577149027465</v>
      </c>
      <c r="H133" s="14">
        <v>87.072422692614992</v>
      </c>
      <c r="I133" s="14">
        <v>40.608472730652302</v>
      </c>
      <c r="J133" s="14">
        <v>97.977288359244952</v>
      </c>
      <c r="K133" s="14">
        <v>25.609733865604113</v>
      </c>
      <c r="L133" s="14">
        <v>45.712480040919026</v>
      </c>
      <c r="M133" s="14">
        <v>34.206677039522781</v>
      </c>
      <c r="N133" s="14">
        <v>38.103081133067377</v>
      </c>
      <c r="O133" s="14">
        <v>49.111146628244462</v>
      </c>
      <c r="P133" s="14">
        <v>7.6165007238339522</v>
      </c>
      <c r="Q133" s="14">
        <v>21.662232490014844</v>
      </c>
      <c r="R133" s="14">
        <v>57.266678651701383</v>
      </c>
      <c r="S133" s="14">
        <v>29.150130701032229</v>
      </c>
      <c r="T133" s="14">
        <v>42.002034868339003</v>
      </c>
      <c r="U133" s="14">
        <v>40.068887125975472</v>
      </c>
      <c r="V133" s="14">
        <v>2.5407675767783799</v>
      </c>
      <c r="W133" s="14">
        <v>6.1024379150591006</v>
      </c>
      <c r="X133" s="14">
        <v>83.591357070138045</v>
      </c>
      <c r="Y133" s="14">
        <v>85.223351661156727</v>
      </c>
      <c r="Z133" s="14">
        <v>6.7226225696501496</v>
      </c>
      <c r="AA133" s="14">
        <v>47.505053389641049</v>
      </c>
      <c r="AB133" s="14">
        <v>63.810405778321112</v>
      </c>
      <c r="AC133" s="14">
        <v>70.79590243375857</v>
      </c>
      <c r="AD133" s="14">
        <v>19.41635041937446</v>
      </c>
      <c r="AE133" s="14">
        <v>26.206977135180786</v>
      </c>
      <c r="AF133" s="14">
        <v>70.179943762339121</v>
      </c>
      <c r="AG133" s="14">
        <v>96.656401261262687</v>
      </c>
      <c r="AH133" s="14">
        <v>7.6285538892972848</v>
      </c>
      <c r="AI133" s="14">
        <v>64.49235288180131</v>
      </c>
      <c r="AJ133" s="14">
        <v>85.956795535244581</v>
      </c>
      <c r="AK133" s="14">
        <v>13.128325838199784</v>
      </c>
      <c r="AL133" s="14">
        <v>32.503632189878175</v>
      </c>
      <c r="AM133" s="14">
        <v>50.342690340063754</v>
      </c>
      <c r="AN133" s="14">
        <v>52.181643083739296</v>
      </c>
      <c r="AO133" s="14">
        <v>37.353297621613677</v>
      </c>
      <c r="AP133" s="14">
        <v>43.1540282114645</v>
      </c>
      <c r="AQ133" s="14">
        <v>0.64945480197926564</v>
      </c>
      <c r="AR133" s="14">
        <v>88.070599437458156</v>
      </c>
      <c r="AS133" s="14">
        <v>75.848255719094865</v>
      </c>
      <c r="AT133" s="14">
        <v>38.465830102286859</v>
      </c>
      <c r="AU133" s="14">
        <v>97.206990712019802</v>
      </c>
      <c r="AV133" s="14">
        <v>28.96036446438297</v>
      </c>
      <c r="AW133" s="14">
        <v>2.0715343781591344</v>
      </c>
      <c r="AX133" s="14">
        <v>32.430692811482828</v>
      </c>
      <c r="AY133" s="14">
        <v>69.765032984063239</v>
      </c>
      <c r="AZ133" s="14">
        <v>23.808530783191916</v>
      </c>
      <c r="BA133" s="14">
        <v>77.128193541369413</v>
      </c>
      <c r="BB133" s="14">
        <v>46.546842254196527</v>
      </c>
      <c r="BC133" s="14">
        <v>88.093648094318965</v>
      </c>
      <c r="BD133" s="14">
        <v>59.978244828943851</v>
      </c>
    </row>
    <row r="134" spans="1:56" x14ac:dyDescent="0.3">
      <c r="A134" s="19">
        <v>2016</v>
      </c>
      <c r="B134" s="8" t="s">
        <v>58</v>
      </c>
      <c r="C134" s="8" t="str">
        <f t="shared" si="8"/>
        <v>NV</v>
      </c>
      <c r="D134" s="8" t="str">
        <f t="shared" si="9"/>
        <v>内华达</v>
      </c>
      <c r="E134" s="15">
        <v>8.2458107670411618</v>
      </c>
      <c r="F134" s="15">
        <v>80.43134482891216</v>
      </c>
      <c r="G134" s="15">
        <v>45.544946549493616</v>
      </c>
      <c r="H134" s="15">
        <v>69.375733326065969</v>
      </c>
      <c r="I134" s="15">
        <v>73.754129918942496</v>
      </c>
      <c r="J134" s="15">
        <v>80.398136804602544</v>
      </c>
      <c r="K134" s="15">
        <v>21.659915529835459</v>
      </c>
      <c r="L134" s="15">
        <v>45.661579188467769</v>
      </c>
      <c r="M134" s="15">
        <v>99.927954966607686</v>
      </c>
      <c r="N134" s="15">
        <v>81.415391315707737</v>
      </c>
      <c r="O134" s="15">
        <v>41.059684878783443</v>
      </c>
      <c r="P134" s="15">
        <v>95.57317684458917</v>
      </c>
      <c r="Q134" s="15">
        <v>88.097360129025333</v>
      </c>
      <c r="R134" s="15">
        <v>14.582462229297699</v>
      </c>
      <c r="S134" s="15">
        <v>71.948147634348231</v>
      </c>
      <c r="T134" s="15">
        <v>72.197309276672939</v>
      </c>
      <c r="U134" s="15">
        <v>52.213293125021131</v>
      </c>
      <c r="V134" s="15">
        <v>35.281500240357659</v>
      </c>
      <c r="W134" s="15">
        <v>80.081408466738864</v>
      </c>
      <c r="X134" s="15">
        <v>11.614959105877931</v>
      </c>
      <c r="Y134" s="15">
        <v>49.663745578286502</v>
      </c>
      <c r="Z134" s="15">
        <v>44.298936774871379</v>
      </c>
      <c r="AA134" s="15">
        <v>42.18774384123968</v>
      </c>
      <c r="AB134" s="15">
        <v>41.340396198934513</v>
      </c>
      <c r="AC134" s="15">
        <v>84.820164691886575</v>
      </c>
      <c r="AD134" s="15">
        <v>8.4259261590304835</v>
      </c>
      <c r="AE134" s="15">
        <v>71.834093385693521</v>
      </c>
      <c r="AF134" s="15">
        <v>10.793423694509519</v>
      </c>
      <c r="AG134" s="15">
        <v>58.995582738140499</v>
      </c>
      <c r="AH134" s="15">
        <v>2.0499115776859367</v>
      </c>
      <c r="AI134" s="15">
        <v>44.40119637685325</v>
      </c>
      <c r="AJ134" s="15">
        <v>21.67222810486108</v>
      </c>
      <c r="AK134" s="15">
        <v>40.943287634146877</v>
      </c>
      <c r="AL134" s="15">
        <v>57.16605060031398</v>
      </c>
      <c r="AM134" s="15">
        <v>13.790124757726929</v>
      </c>
      <c r="AN134" s="15">
        <v>92.39929267109494</v>
      </c>
      <c r="AO134" s="15">
        <v>68.980825383956756</v>
      </c>
      <c r="AP134" s="15">
        <v>92.727993421340386</v>
      </c>
      <c r="AQ134" s="15">
        <v>4.7705285056031332</v>
      </c>
      <c r="AR134" s="15">
        <v>9.7981164685172146</v>
      </c>
      <c r="AS134" s="15">
        <v>45.061398025998812</v>
      </c>
      <c r="AT134" s="15">
        <v>3.3251121451285282</v>
      </c>
      <c r="AU134" s="15">
        <v>34.135596187112135</v>
      </c>
      <c r="AV134" s="15">
        <v>5.4842720499898583</v>
      </c>
      <c r="AW134" s="15">
        <v>29.161975596783464</v>
      </c>
      <c r="AX134" s="15">
        <v>64.112469490369378</v>
      </c>
      <c r="AY134" s="15">
        <v>27.660116953533965</v>
      </c>
      <c r="AZ134" s="15">
        <v>48.900247218508788</v>
      </c>
      <c r="BA134" s="15">
        <v>29.339655288791388</v>
      </c>
      <c r="BB134" s="15">
        <v>42.620799745379834</v>
      </c>
      <c r="BC134" s="15">
        <v>21.166447533880341</v>
      </c>
      <c r="BD134" s="15">
        <v>54.118783785198886</v>
      </c>
    </row>
    <row r="135" spans="1:56" x14ac:dyDescent="0.3">
      <c r="A135" s="18">
        <v>2016</v>
      </c>
      <c r="B135" s="6" t="s">
        <v>60</v>
      </c>
      <c r="C135" s="6" t="str">
        <f t="shared" si="8"/>
        <v>NH</v>
      </c>
      <c r="D135" s="6" t="str">
        <f t="shared" si="9"/>
        <v>新汉普郡</v>
      </c>
      <c r="E135" s="14">
        <v>36.053958749615809</v>
      </c>
      <c r="F135" s="14">
        <v>54.753070493135112</v>
      </c>
      <c r="G135" s="14">
        <v>24.091089244031604</v>
      </c>
      <c r="H135" s="14">
        <v>74.918799817462229</v>
      </c>
      <c r="I135" s="14">
        <v>0.77006310890971319</v>
      </c>
      <c r="J135" s="14">
        <v>66.130724644851554</v>
      </c>
      <c r="K135" s="14">
        <v>27.621748201515551</v>
      </c>
      <c r="L135" s="14">
        <v>74.367149042762193</v>
      </c>
      <c r="M135" s="14">
        <v>24.206772640039244</v>
      </c>
      <c r="N135" s="14">
        <v>48.989126565434326</v>
      </c>
      <c r="O135" s="14">
        <v>7.0448492418889952</v>
      </c>
      <c r="P135" s="14">
        <v>62.53537552456396</v>
      </c>
      <c r="Q135" s="14">
        <v>86.144220380313797</v>
      </c>
      <c r="R135" s="14">
        <v>22.061260295538975</v>
      </c>
      <c r="S135" s="14">
        <v>44.854446617157848</v>
      </c>
      <c r="T135" s="14">
        <v>94.792522237927656</v>
      </c>
      <c r="U135" s="14">
        <v>88.672789590004427</v>
      </c>
      <c r="V135" s="14">
        <v>30.353698012075579</v>
      </c>
      <c r="W135" s="14">
        <v>52.680622095226568</v>
      </c>
      <c r="X135" s="14">
        <v>16.837665181979723</v>
      </c>
      <c r="Y135" s="14">
        <v>10.621059563170853</v>
      </c>
      <c r="Z135" s="14">
        <v>46.244160393900479</v>
      </c>
      <c r="AA135" s="14">
        <v>96.374669674838771</v>
      </c>
      <c r="AB135" s="14">
        <v>68.347363511051611</v>
      </c>
      <c r="AC135" s="14">
        <v>1.0354224536216372</v>
      </c>
      <c r="AD135" s="14">
        <v>59.19035429219884</v>
      </c>
      <c r="AE135" s="14">
        <v>72.73143657051358</v>
      </c>
      <c r="AF135" s="14">
        <v>26.766316710869763</v>
      </c>
      <c r="AG135" s="14">
        <v>38.027438363670342</v>
      </c>
      <c r="AH135" s="14">
        <v>89.948305667937277</v>
      </c>
      <c r="AI135" s="14">
        <v>41.31109137045064</v>
      </c>
      <c r="AJ135" s="14">
        <v>39.212053321342601</v>
      </c>
      <c r="AK135" s="14">
        <v>84.813039042148688</v>
      </c>
      <c r="AL135" s="14">
        <v>99.929025935231081</v>
      </c>
      <c r="AM135" s="14">
        <v>44.117012860288028</v>
      </c>
      <c r="AN135" s="14">
        <v>82.779197375489375</v>
      </c>
      <c r="AO135" s="14">
        <v>62.332233597761686</v>
      </c>
      <c r="AP135" s="14">
        <v>30.351000711547925</v>
      </c>
      <c r="AQ135" s="14">
        <v>66.680261064865121</v>
      </c>
      <c r="AR135" s="14">
        <v>67.598806386128786</v>
      </c>
      <c r="AS135" s="14">
        <v>98.028600778758303</v>
      </c>
      <c r="AT135" s="14">
        <v>14.51976272542117</v>
      </c>
      <c r="AU135" s="14">
        <v>15.409054366501795</v>
      </c>
      <c r="AV135" s="14">
        <v>95.25076154166392</v>
      </c>
      <c r="AW135" s="14">
        <v>26.312783739087831</v>
      </c>
      <c r="AX135" s="14">
        <v>0.2254910513852737</v>
      </c>
      <c r="AY135" s="14">
        <v>37.912359243078939</v>
      </c>
      <c r="AZ135" s="14">
        <v>56.915174198416416</v>
      </c>
      <c r="BA135" s="14">
        <v>74.302316073307395</v>
      </c>
      <c r="BB135" s="14">
        <v>97.137634704744087</v>
      </c>
      <c r="BC135" s="14">
        <v>19.139830254281364</v>
      </c>
      <c r="BD135" s="14">
        <v>65.492711380464939</v>
      </c>
    </row>
    <row r="136" spans="1:56" x14ac:dyDescent="0.3">
      <c r="A136" s="19">
        <v>2016</v>
      </c>
      <c r="B136" s="8" t="s">
        <v>62</v>
      </c>
      <c r="C136" s="8" t="str">
        <f t="shared" si="8"/>
        <v>NJ</v>
      </c>
      <c r="D136" s="8" t="str">
        <f t="shared" si="9"/>
        <v>新泽西</v>
      </c>
      <c r="E136" s="15">
        <v>25.631359295018463</v>
      </c>
      <c r="F136" s="15">
        <v>90.922191835623394</v>
      </c>
      <c r="G136" s="15">
        <v>15.693681777226953</v>
      </c>
      <c r="H136" s="15">
        <v>60.688403836528934</v>
      </c>
      <c r="I136" s="15">
        <v>65.882867056961786</v>
      </c>
      <c r="J136" s="15">
        <v>19.238117338616611</v>
      </c>
      <c r="K136" s="15">
        <v>76.192505954003636</v>
      </c>
      <c r="L136" s="15">
        <v>53.405620019657029</v>
      </c>
      <c r="M136" s="15">
        <v>21.95331964102386</v>
      </c>
      <c r="N136" s="15">
        <v>24.385159068623828</v>
      </c>
      <c r="O136" s="15">
        <v>0.17458673268508917</v>
      </c>
      <c r="P136" s="15">
        <v>67.98722981583127</v>
      </c>
      <c r="Q136" s="15">
        <v>63.239843438151411</v>
      </c>
      <c r="R136" s="15">
        <v>36.751438043014829</v>
      </c>
      <c r="S136" s="15">
        <v>91.581517313547749</v>
      </c>
      <c r="T136" s="15">
        <v>65.770213174101343</v>
      </c>
      <c r="U136" s="15">
        <v>98.231560804666145</v>
      </c>
      <c r="V136" s="15">
        <v>2.7855420231780559</v>
      </c>
      <c r="W136" s="15">
        <v>11.12561262935392</v>
      </c>
      <c r="X136" s="15">
        <v>14.461561470285211</v>
      </c>
      <c r="Y136" s="15">
        <v>52.465418044900517</v>
      </c>
      <c r="Z136" s="15">
        <v>17.745675280116945</v>
      </c>
      <c r="AA136" s="15">
        <v>31.982546466768824</v>
      </c>
      <c r="AB136" s="15">
        <v>49.912547753636197</v>
      </c>
      <c r="AC136" s="15">
        <v>22.733033064249497</v>
      </c>
      <c r="AD136" s="15">
        <v>93.875245271460415</v>
      </c>
      <c r="AE136" s="15">
        <v>13.812432350645098</v>
      </c>
      <c r="AF136" s="15">
        <v>97.589233639140488</v>
      </c>
      <c r="AG136" s="15">
        <v>31.305905198612638</v>
      </c>
      <c r="AH136" s="15">
        <v>81.054568359289931</v>
      </c>
      <c r="AI136" s="15">
        <v>26.092385107581428</v>
      </c>
      <c r="AJ136" s="15">
        <v>36.091194328778585</v>
      </c>
      <c r="AK136" s="15">
        <v>6.0598281075005538</v>
      </c>
      <c r="AL136" s="15">
        <v>40.623354119677515</v>
      </c>
      <c r="AM136" s="15">
        <v>5.690474064977602</v>
      </c>
      <c r="AN136" s="15">
        <v>63.70102225181801</v>
      </c>
      <c r="AO136" s="15">
        <v>47.948412149882849</v>
      </c>
      <c r="AP136" s="15">
        <v>2.8575311056366792</v>
      </c>
      <c r="AQ136" s="15">
        <v>23.44976490696752</v>
      </c>
      <c r="AR136" s="15">
        <v>58.414090537164498</v>
      </c>
      <c r="AS136" s="15">
        <v>11.857521985630759</v>
      </c>
      <c r="AT136" s="15">
        <v>48.951492897951418</v>
      </c>
      <c r="AU136" s="15">
        <v>82.523542986911707</v>
      </c>
      <c r="AV136" s="15">
        <v>75.808868452579731</v>
      </c>
      <c r="AW136" s="15">
        <v>28.706999878906238</v>
      </c>
      <c r="AX136" s="15">
        <v>68.1300201566374</v>
      </c>
      <c r="AY136" s="15">
        <v>2.4005984969221128</v>
      </c>
      <c r="AZ136" s="15">
        <v>52.86577840464394</v>
      </c>
      <c r="BA136" s="15">
        <v>13.4270337564671</v>
      </c>
      <c r="BB136" s="15">
        <v>66.093351496803109</v>
      </c>
      <c r="BC136" s="15">
        <v>42.562770397690905</v>
      </c>
      <c r="BD136" s="15">
        <v>13.300604725184062</v>
      </c>
    </row>
    <row r="137" spans="1:56" x14ac:dyDescent="0.3">
      <c r="A137" s="18">
        <v>2016</v>
      </c>
      <c r="B137" s="6" t="s">
        <v>64</v>
      </c>
      <c r="C137" s="6" t="str">
        <f t="shared" si="8"/>
        <v>NM</v>
      </c>
      <c r="D137" s="6" t="str">
        <f t="shared" si="9"/>
        <v>新墨西哥</v>
      </c>
      <c r="E137" s="14">
        <v>54.859806770346907</v>
      </c>
      <c r="F137" s="14">
        <v>84.049209721334989</v>
      </c>
      <c r="G137" s="14">
        <v>88.108557637942567</v>
      </c>
      <c r="H137" s="14">
        <v>28.886109039682939</v>
      </c>
      <c r="I137" s="14">
        <v>20.293883714032134</v>
      </c>
      <c r="J137" s="14">
        <v>60.721304231732901</v>
      </c>
      <c r="K137" s="14">
        <v>22.186455750644885</v>
      </c>
      <c r="L137" s="14">
        <v>16.532055940844113</v>
      </c>
      <c r="M137" s="14">
        <v>50.833400233365722</v>
      </c>
      <c r="N137" s="14">
        <v>65.097318869798755</v>
      </c>
      <c r="O137" s="14">
        <v>57.405072140954204</v>
      </c>
      <c r="P137" s="14">
        <v>57.099573927115784</v>
      </c>
      <c r="Q137" s="14">
        <v>79.377951977680254</v>
      </c>
      <c r="R137" s="14">
        <v>23.637547990480947</v>
      </c>
      <c r="S137" s="14">
        <v>4.1850476440357891</v>
      </c>
      <c r="T137" s="14">
        <v>84.998257515918525</v>
      </c>
      <c r="U137" s="14">
        <v>52.261700362008426</v>
      </c>
      <c r="V137" s="14">
        <v>69.557796355261246</v>
      </c>
      <c r="W137" s="14">
        <v>12.080046486609032</v>
      </c>
      <c r="X137" s="14">
        <v>83.274234244195029</v>
      </c>
      <c r="Y137" s="14">
        <v>52.224472981432172</v>
      </c>
      <c r="Z137" s="14">
        <v>78.434621102892294</v>
      </c>
      <c r="AA137" s="14">
        <v>40.409148930571789</v>
      </c>
      <c r="AB137" s="14">
        <v>20.627173387018637</v>
      </c>
      <c r="AC137" s="14">
        <v>34.534452415215519</v>
      </c>
      <c r="AD137" s="14">
        <v>95.591897551418299</v>
      </c>
      <c r="AE137" s="14">
        <v>75.415398155623421</v>
      </c>
      <c r="AF137" s="14">
        <v>69.109609147694172</v>
      </c>
      <c r="AG137" s="14">
        <v>38.381763165343571</v>
      </c>
      <c r="AH137" s="14">
        <v>4.3237851012431268</v>
      </c>
      <c r="AI137" s="14">
        <v>55.446851871875644</v>
      </c>
      <c r="AJ137" s="14">
        <v>40.352046136105201</v>
      </c>
      <c r="AK137" s="14">
        <v>69.217845418428041</v>
      </c>
      <c r="AL137" s="14">
        <v>95.402108805009902</v>
      </c>
      <c r="AM137" s="14">
        <v>18.947766213995511</v>
      </c>
      <c r="AN137" s="14">
        <v>93.986119524265305</v>
      </c>
      <c r="AO137" s="14">
        <v>45.659989532543818</v>
      </c>
      <c r="AP137" s="14">
        <v>1.1245475470142874</v>
      </c>
      <c r="AQ137" s="14">
        <v>65.96300367580794</v>
      </c>
      <c r="AR137" s="14">
        <v>57.38649222392479</v>
      </c>
      <c r="AS137" s="14">
        <v>95.608051467369179</v>
      </c>
      <c r="AT137" s="14">
        <v>96.316856729384199</v>
      </c>
      <c r="AU137" s="14">
        <v>36.594229074382802</v>
      </c>
      <c r="AV137" s="14">
        <v>66.211826890372123</v>
      </c>
      <c r="AW137" s="14">
        <v>85.488989692747737</v>
      </c>
      <c r="AX137" s="14">
        <v>28.45753416899711</v>
      </c>
      <c r="AY137" s="14">
        <v>11.548603664146849</v>
      </c>
      <c r="AZ137" s="14">
        <v>7.3336430113755569</v>
      </c>
      <c r="BA137" s="14">
        <v>74.690018258777187</v>
      </c>
      <c r="BB137" s="14">
        <v>58.998618275181514</v>
      </c>
      <c r="BC137" s="14">
        <v>67.482911159510195</v>
      </c>
      <c r="BD137" s="14">
        <v>3.7608202109938649</v>
      </c>
    </row>
    <row r="138" spans="1:56" x14ac:dyDescent="0.3">
      <c r="A138" s="19">
        <v>2016</v>
      </c>
      <c r="B138" s="8" t="s">
        <v>66</v>
      </c>
      <c r="C138" s="8" t="str">
        <f t="shared" si="8"/>
        <v>NY</v>
      </c>
      <c r="D138" s="8" t="str">
        <f t="shared" si="9"/>
        <v>纽约</v>
      </c>
      <c r="E138" s="15">
        <v>69.294064490300642</v>
      </c>
      <c r="F138" s="15">
        <v>59.859613078920972</v>
      </c>
      <c r="G138" s="15">
        <v>1.3805448120385533</v>
      </c>
      <c r="H138" s="15">
        <v>12.926394264408369</v>
      </c>
      <c r="I138" s="15">
        <v>9.5141411906614959</v>
      </c>
      <c r="J138" s="15">
        <v>66.849641327958608</v>
      </c>
      <c r="K138" s="15">
        <v>81.452619850841486</v>
      </c>
      <c r="L138" s="15">
        <v>85.013225550657921</v>
      </c>
      <c r="M138" s="15">
        <v>38.465170061081267</v>
      </c>
      <c r="N138" s="15">
        <v>56.525897738886535</v>
      </c>
      <c r="O138" s="15">
        <v>65.576429085550728</v>
      </c>
      <c r="P138" s="15">
        <v>97.994745370559983</v>
      </c>
      <c r="Q138" s="15">
        <v>86.483842076759515</v>
      </c>
      <c r="R138" s="15">
        <v>59.147517655108274</v>
      </c>
      <c r="S138" s="15">
        <v>20.369890972571326</v>
      </c>
      <c r="T138" s="15">
        <v>98.523533263182657</v>
      </c>
      <c r="U138" s="15">
        <v>36.470540549070876</v>
      </c>
      <c r="V138" s="15">
        <v>32.849249532901744</v>
      </c>
      <c r="W138" s="15">
        <v>91.158441312929</v>
      </c>
      <c r="X138" s="15">
        <v>42.031483419004999</v>
      </c>
      <c r="Y138" s="15">
        <v>66.575704585580084</v>
      </c>
      <c r="Z138" s="15">
        <v>61.894678656381451</v>
      </c>
      <c r="AA138" s="15">
        <v>92.707990734814572</v>
      </c>
      <c r="AB138" s="15">
        <v>2.0108264594734138</v>
      </c>
      <c r="AC138" s="15">
        <v>44.424210847405142</v>
      </c>
      <c r="AD138" s="15">
        <v>62.007129815889137</v>
      </c>
      <c r="AE138" s="15">
        <v>59.314254278668585</v>
      </c>
      <c r="AF138" s="15">
        <v>83.889186854875007</v>
      </c>
      <c r="AG138" s="15">
        <v>55.044394658525967</v>
      </c>
      <c r="AH138" s="15">
        <v>15.655072236275313</v>
      </c>
      <c r="AI138" s="15">
        <v>75.358907471662988</v>
      </c>
      <c r="AJ138" s="15">
        <v>58.084320487927123</v>
      </c>
      <c r="AK138" s="15">
        <v>84.92432540020512</v>
      </c>
      <c r="AL138" s="15">
        <v>71.328385755422872</v>
      </c>
      <c r="AM138" s="15">
        <v>83.998500854565435</v>
      </c>
      <c r="AN138" s="15">
        <v>27.060982309310788</v>
      </c>
      <c r="AO138" s="15">
        <v>19.237732668233676</v>
      </c>
      <c r="AP138" s="15">
        <v>46.527914510159007</v>
      </c>
      <c r="AQ138" s="15">
        <v>94.19108588697074</v>
      </c>
      <c r="AR138" s="15">
        <v>52.89245670285294</v>
      </c>
      <c r="AS138" s="15">
        <v>11.579416606393877</v>
      </c>
      <c r="AT138" s="15">
        <v>97.778522682392946</v>
      </c>
      <c r="AU138" s="15">
        <v>63.43123963549413</v>
      </c>
      <c r="AV138" s="15">
        <v>19.666574431767248</v>
      </c>
      <c r="AW138" s="15">
        <v>13.180733882276275</v>
      </c>
      <c r="AX138" s="15">
        <v>89.133946848339974</v>
      </c>
      <c r="AY138" s="15">
        <v>38.177823860811898</v>
      </c>
      <c r="AZ138" s="15">
        <v>91.251171918596867</v>
      </c>
      <c r="BA138" s="15">
        <v>16.246741942997179</v>
      </c>
      <c r="BB138" s="15">
        <v>47.903785470899741</v>
      </c>
      <c r="BC138" s="15">
        <v>70.304057213770491</v>
      </c>
      <c r="BD138" s="15">
        <v>60.567829761056011</v>
      </c>
    </row>
    <row r="139" spans="1:56" x14ac:dyDescent="0.3">
      <c r="A139" s="18">
        <v>2016</v>
      </c>
      <c r="B139" s="6" t="s">
        <v>68</v>
      </c>
      <c r="C139" s="6" t="str">
        <f t="shared" si="8"/>
        <v>NC</v>
      </c>
      <c r="D139" s="6" t="str">
        <f t="shared" si="9"/>
        <v>北卡罗莱纳</v>
      </c>
      <c r="E139" s="14">
        <v>78.488180830918324</v>
      </c>
      <c r="F139" s="14">
        <v>84.186178853148448</v>
      </c>
      <c r="G139" s="14">
        <v>85.305578651864792</v>
      </c>
      <c r="H139" s="14">
        <v>72.909725456620947</v>
      </c>
      <c r="I139" s="14">
        <v>74.552330758092239</v>
      </c>
      <c r="J139" s="14">
        <v>60.528037471836114</v>
      </c>
      <c r="K139" s="14">
        <v>6.7736798676625192</v>
      </c>
      <c r="L139" s="14">
        <v>91.217002247391605</v>
      </c>
      <c r="M139" s="14">
        <v>17.811249059490454</v>
      </c>
      <c r="N139" s="14">
        <v>98.473842155816143</v>
      </c>
      <c r="O139" s="14">
        <v>48.395721092907628</v>
      </c>
      <c r="P139" s="14">
        <v>8.8634234454091789</v>
      </c>
      <c r="Q139" s="14">
        <v>67.155336610322237</v>
      </c>
      <c r="R139" s="14">
        <v>63.040806938575088</v>
      </c>
      <c r="S139" s="14">
        <v>17.412709700256833</v>
      </c>
      <c r="T139" s="14">
        <v>55.323647554153233</v>
      </c>
      <c r="U139" s="14">
        <v>29.439957213010747</v>
      </c>
      <c r="V139" s="14">
        <v>22.427850497603707</v>
      </c>
      <c r="W139" s="14">
        <v>55.408157544804482</v>
      </c>
      <c r="X139" s="14">
        <v>60.750144714746547</v>
      </c>
      <c r="Y139" s="14">
        <v>83.142795548692476</v>
      </c>
      <c r="Z139" s="14">
        <v>88.989565599547362</v>
      </c>
      <c r="AA139" s="14">
        <v>98.720080326636932</v>
      </c>
      <c r="AB139" s="14">
        <v>61.823414452735349</v>
      </c>
      <c r="AC139" s="14">
        <v>91.366664634542119</v>
      </c>
      <c r="AD139" s="14">
        <v>39.133325240899332</v>
      </c>
      <c r="AE139" s="14">
        <v>86.964146319895193</v>
      </c>
      <c r="AF139" s="14">
        <v>5.046638461628838</v>
      </c>
      <c r="AG139" s="14">
        <v>98.392596301591567</v>
      </c>
      <c r="AH139" s="14">
        <v>33.509598422601059</v>
      </c>
      <c r="AI139" s="14">
        <v>37.743592477586674</v>
      </c>
      <c r="AJ139" s="14">
        <v>39.080227162594049</v>
      </c>
      <c r="AK139" s="14">
        <v>38.173902122301563</v>
      </c>
      <c r="AL139" s="14">
        <v>86.717233603079052</v>
      </c>
      <c r="AM139" s="14">
        <v>33.24790331040618</v>
      </c>
      <c r="AN139" s="14">
        <v>88.827639373287724</v>
      </c>
      <c r="AO139" s="14">
        <v>4.9689608984737283</v>
      </c>
      <c r="AP139" s="14">
        <v>57.21339060585273</v>
      </c>
      <c r="AQ139" s="14">
        <v>16.511724665954532</v>
      </c>
      <c r="AR139" s="14">
        <v>89.214164126801435</v>
      </c>
      <c r="AS139" s="14">
        <v>27.474722501569293</v>
      </c>
      <c r="AT139" s="14">
        <v>89.51909290726843</v>
      </c>
      <c r="AU139" s="14">
        <v>12.935735671767423</v>
      </c>
      <c r="AV139" s="14">
        <v>70.53716830639226</v>
      </c>
      <c r="AW139" s="14">
        <v>33.309103205216154</v>
      </c>
      <c r="AX139" s="14">
        <v>36.099469558134622</v>
      </c>
      <c r="AY139" s="14">
        <v>56.255940004738747</v>
      </c>
      <c r="AZ139" s="14">
        <v>93.196166173205327</v>
      </c>
      <c r="BA139" s="14">
        <v>38.352656630434602</v>
      </c>
      <c r="BB139" s="14">
        <v>4.2786988351885995</v>
      </c>
      <c r="BC139" s="14">
        <v>63.82346511453806</v>
      </c>
      <c r="BD139" s="14">
        <v>35.037672965159693</v>
      </c>
    </row>
    <row r="140" spans="1:56" x14ac:dyDescent="0.3">
      <c r="A140" s="19">
        <v>2016</v>
      </c>
      <c r="B140" s="8" t="s">
        <v>70</v>
      </c>
      <c r="C140" s="8" t="str">
        <f t="shared" si="8"/>
        <v>ND</v>
      </c>
      <c r="D140" s="8" t="str">
        <f t="shared" si="9"/>
        <v>北达科他</v>
      </c>
      <c r="E140" s="15">
        <v>55.882762158492419</v>
      </c>
      <c r="F140" s="15">
        <v>43.954465223133624</v>
      </c>
      <c r="G140" s="15">
        <v>6.1290809348834792</v>
      </c>
      <c r="H140" s="15">
        <v>6.4461131827053375</v>
      </c>
      <c r="I140" s="15">
        <v>49.684698676390127</v>
      </c>
      <c r="J140" s="15">
        <v>88.203281942148152</v>
      </c>
      <c r="K140" s="15">
        <v>87.047997517964717</v>
      </c>
      <c r="L140" s="15">
        <v>24.64215370729913</v>
      </c>
      <c r="M140" s="15">
        <v>45.358502275905053</v>
      </c>
      <c r="N140" s="15">
        <v>18.62524016020425</v>
      </c>
      <c r="O140" s="15">
        <v>56.819763346276488</v>
      </c>
      <c r="P140" s="15">
        <v>4.2717187859949153</v>
      </c>
      <c r="Q140" s="15">
        <v>60.90491401905944</v>
      </c>
      <c r="R140" s="15">
        <v>59.945408683405589</v>
      </c>
      <c r="S140" s="15">
        <v>31.786994346598174</v>
      </c>
      <c r="T140" s="15">
        <v>72.232163392819047</v>
      </c>
      <c r="U140" s="15">
        <v>93.516679333158322</v>
      </c>
      <c r="V140" s="15">
        <v>70.311361377761301</v>
      </c>
      <c r="W140" s="15">
        <v>45.357969294727972</v>
      </c>
      <c r="X140" s="15">
        <v>15.72717706101211</v>
      </c>
      <c r="Y140" s="15">
        <v>80.821153054369262</v>
      </c>
      <c r="Z140" s="15">
        <v>43.621445615417578</v>
      </c>
      <c r="AA140" s="15">
        <v>62.846567860735924</v>
      </c>
      <c r="AB140" s="15">
        <v>82.387407214181792</v>
      </c>
      <c r="AC140" s="15">
        <v>4.0259604686953221</v>
      </c>
      <c r="AD140" s="15">
        <v>96.452681876626883</v>
      </c>
      <c r="AE140" s="15">
        <v>62.966137180694794</v>
      </c>
      <c r="AF140" s="15">
        <v>68.075410284039961</v>
      </c>
      <c r="AG140" s="15">
        <v>90.793487279890655</v>
      </c>
      <c r="AH140" s="15">
        <v>71.034927393726818</v>
      </c>
      <c r="AI140" s="15">
        <v>15.717499354722332</v>
      </c>
      <c r="AJ140" s="15">
        <v>78.613911905259954</v>
      </c>
      <c r="AK140" s="15">
        <v>89.014002424433841</v>
      </c>
      <c r="AL140" s="15">
        <v>90.808970197463708</v>
      </c>
      <c r="AM140" s="15">
        <v>1.4511443993887263</v>
      </c>
      <c r="AN140" s="15">
        <v>56.074676876803665</v>
      </c>
      <c r="AO140" s="15">
        <v>65.282538361884463</v>
      </c>
      <c r="AP140" s="15">
        <v>43.576596277499767</v>
      </c>
      <c r="AQ140" s="15">
        <v>68.176003209449618</v>
      </c>
      <c r="AR140" s="15">
        <v>27.792426947594528</v>
      </c>
      <c r="AS140" s="15">
        <v>30.758418681456345</v>
      </c>
      <c r="AT140" s="15">
        <v>63.52792779193166</v>
      </c>
      <c r="AU140" s="15">
        <v>27.196215619689234</v>
      </c>
      <c r="AV140" s="15">
        <v>99.766233514858953</v>
      </c>
      <c r="AW140" s="15">
        <v>12.624437361915064</v>
      </c>
      <c r="AX140" s="15">
        <v>89.137505346894784</v>
      </c>
      <c r="AY140" s="15">
        <v>54.024488416787484</v>
      </c>
      <c r="AZ140" s="15">
        <v>83.254404288478497</v>
      </c>
      <c r="BA140" s="15">
        <v>71.737361476105264</v>
      </c>
      <c r="BB140" s="15">
        <v>59.894648806315999</v>
      </c>
      <c r="BC140" s="15">
        <v>43.780303225493519</v>
      </c>
      <c r="BD140" s="15">
        <v>18.382702058389413</v>
      </c>
    </row>
    <row r="141" spans="1:56" x14ac:dyDescent="0.3">
      <c r="A141" s="18">
        <v>2016</v>
      </c>
      <c r="B141" s="6" t="s">
        <v>72</v>
      </c>
      <c r="C141" s="6" t="str">
        <f t="shared" si="8"/>
        <v>OH</v>
      </c>
      <c r="D141" s="6" t="str">
        <f t="shared" si="9"/>
        <v>俄亥俄州</v>
      </c>
      <c r="E141" s="14">
        <v>87.60849438998018</v>
      </c>
      <c r="F141" s="14">
        <v>44.896158737446925</v>
      </c>
      <c r="G141" s="14">
        <v>24.529076768211045</v>
      </c>
      <c r="H141" s="14">
        <v>59.530107504149058</v>
      </c>
      <c r="I141" s="14">
        <v>44.501841616176598</v>
      </c>
      <c r="J141" s="14">
        <v>27.105827783900406</v>
      </c>
      <c r="K141" s="14">
        <v>29.118204191475062</v>
      </c>
      <c r="L141" s="14">
        <v>44.358129905437828</v>
      </c>
      <c r="M141" s="14">
        <v>66.995092808546374</v>
      </c>
      <c r="N141" s="14">
        <v>93.628297239971275</v>
      </c>
      <c r="O141" s="14">
        <v>48.675116439523222</v>
      </c>
      <c r="P141" s="14">
        <v>40.797129843091739</v>
      </c>
      <c r="Q141" s="14">
        <v>72.04273344223347</v>
      </c>
      <c r="R141" s="14">
        <v>88.593364760938343</v>
      </c>
      <c r="S141" s="14">
        <v>2.282182882257533</v>
      </c>
      <c r="T141" s="14">
        <v>55.153229061571096</v>
      </c>
      <c r="U141" s="14">
        <v>44.595035276346373</v>
      </c>
      <c r="V141" s="14">
        <v>40.066540282498465</v>
      </c>
      <c r="W141" s="14">
        <v>3.4164657062338732</v>
      </c>
      <c r="X141" s="14">
        <v>67.029306901093136</v>
      </c>
      <c r="Y141" s="14">
        <v>53.731159245320924</v>
      </c>
      <c r="Z141" s="14">
        <v>6.2899324047770993</v>
      </c>
      <c r="AA141" s="14">
        <v>44.152730964473861</v>
      </c>
      <c r="AB141" s="14">
        <v>66.237285526060546</v>
      </c>
      <c r="AC141" s="14">
        <v>78.934959517602209</v>
      </c>
      <c r="AD141" s="14">
        <v>22.871589139638949</v>
      </c>
      <c r="AE141" s="14">
        <v>74.95753332473349</v>
      </c>
      <c r="AF141" s="14">
        <v>38.349382188406757</v>
      </c>
      <c r="AG141" s="14">
        <v>81.07785142471954</v>
      </c>
      <c r="AH141" s="14">
        <v>24.813404673231265</v>
      </c>
      <c r="AI141" s="14">
        <v>82.946934954139039</v>
      </c>
      <c r="AJ141" s="14">
        <v>36.703037042596996</v>
      </c>
      <c r="AK141" s="14">
        <v>86.391255297270845</v>
      </c>
      <c r="AL141" s="14">
        <v>19.251096800097944</v>
      </c>
      <c r="AM141" s="14">
        <v>4.6165503421538023</v>
      </c>
      <c r="AN141" s="14">
        <v>50.291376209069824</v>
      </c>
      <c r="AO141" s="14">
        <v>77.114148868350526</v>
      </c>
      <c r="AP141" s="14">
        <v>52.359743352125953</v>
      </c>
      <c r="AQ141" s="14">
        <v>96.455435877863252</v>
      </c>
      <c r="AR141" s="14">
        <v>62.230122256537712</v>
      </c>
      <c r="AS141" s="14">
        <v>82.832629577680478</v>
      </c>
      <c r="AT141" s="14">
        <v>45.310275651788878</v>
      </c>
      <c r="AU141" s="14">
        <v>63.298500933631608</v>
      </c>
      <c r="AV141" s="14">
        <v>16.554072605283675</v>
      </c>
      <c r="AW141" s="14">
        <v>74.380268462770744</v>
      </c>
      <c r="AX141" s="14">
        <v>53.088793847060209</v>
      </c>
      <c r="AY141" s="14">
        <v>83.499713457338814</v>
      </c>
      <c r="AZ141" s="14">
        <v>88.322514178117913</v>
      </c>
      <c r="BA141" s="14">
        <v>26.204549962525668</v>
      </c>
      <c r="BB141" s="14">
        <v>44.510774054936739</v>
      </c>
      <c r="BC141" s="14">
        <v>29.261675665357501</v>
      </c>
      <c r="BD141" s="14">
        <v>18.995177774847129</v>
      </c>
    </row>
    <row r="142" spans="1:56" x14ac:dyDescent="0.3">
      <c r="A142" s="19">
        <v>2016</v>
      </c>
      <c r="B142" s="8" t="s">
        <v>74</v>
      </c>
      <c r="C142" s="8" t="str">
        <f t="shared" si="8"/>
        <v>OK</v>
      </c>
      <c r="D142" s="8" t="str">
        <f t="shared" si="9"/>
        <v>俄克拉何马州</v>
      </c>
      <c r="E142" s="15">
        <v>78.565702397712272</v>
      </c>
      <c r="F142" s="15">
        <v>28.654628875607489</v>
      </c>
      <c r="G142" s="15">
        <v>95.967533285197462</v>
      </c>
      <c r="H142" s="15">
        <v>5.407060082132487</v>
      </c>
      <c r="I142" s="15">
        <v>28.303761591685483</v>
      </c>
      <c r="J142" s="15">
        <v>47.305444611013044</v>
      </c>
      <c r="K142" s="15">
        <v>96.168617899969917</v>
      </c>
      <c r="L142" s="15">
        <v>11.884692380705786</v>
      </c>
      <c r="M142" s="15">
        <v>74.184758739256779</v>
      </c>
      <c r="N142" s="15">
        <v>54.674860384972405</v>
      </c>
      <c r="O142" s="15">
        <v>27.266683329911135</v>
      </c>
      <c r="P142" s="15">
        <v>71.891758450914992</v>
      </c>
      <c r="Q142" s="15">
        <v>65.991094668734178</v>
      </c>
      <c r="R142" s="15">
        <v>90.698007254218084</v>
      </c>
      <c r="S142" s="15">
        <v>36.755810215913073</v>
      </c>
      <c r="T142" s="15">
        <v>52.485396421697686</v>
      </c>
      <c r="U142" s="15">
        <v>56.503352527442729</v>
      </c>
      <c r="V142" s="15">
        <v>61.182253240335527</v>
      </c>
      <c r="W142" s="15">
        <v>62.810482459530959</v>
      </c>
      <c r="X142" s="15">
        <v>69.264998941126635</v>
      </c>
      <c r="Y142" s="15">
        <v>47.490874421224163</v>
      </c>
      <c r="Z142" s="15">
        <v>99.680648878659042</v>
      </c>
      <c r="AA142" s="15">
        <v>76.173851300663983</v>
      </c>
      <c r="AB142" s="15">
        <v>15.625192743641581</v>
      </c>
      <c r="AC142" s="15">
        <v>64.193866278374728</v>
      </c>
      <c r="AD142" s="15">
        <v>68.664359629796209</v>
      </c>
      <c r="AE142" s="15">
        <v>54.761184454924582</v>
      </c>
      <c r="AF142" s="15">
        <v>95.305697650317285</v>
      </c>
      <c r="AG142" s="15">
        <v>21.038883764437266</v>
      </c>
      <c r="AH142" s="15">
        <v>38.395878147304018</v>
      </c>
      <c r="AI142" s="15">
        <v>8.1865961836052428</v>
      </c>
      <c r="AJ142" s="15">
        <v>86.819011870220436</v>
      </c>
      <c r="AK142" s="15">
        <v>95.529791800359249</v>
      </c>
      <c r="AL142" s="15">
        <v>67.972035682206041</v>
      </c>
      <c r="AM142" s="15">
        <v>21.416657366702708</v>
      </c>
      <c r="AN142" s="15">
        <v>65.678996183949295</v>
      </c>
      <c r="AO142" s="15">
        <v>74.118482905666653</v>
      </c>
      <c r="AP142" s="15">
        <v>1.1565837018216674</v>
      </c>
      <c r="AQ142" s="15">
        <v>99.041211666167911</v>
      </c>
      <c r="AR142" s="15">
        <v>87.786134486120602</v>
      </c>
      <c r="AS142" s="15">
        <v>77.591798057273664</v>
      </c>
      <c r="AT142" s="15">
        <v>83.473558089647454</v>
      </c>
      <c r="AU142" s="15">
        <v>14.873010272940867</v>
      </c>
      <c r="AV142" s="15">
        <v>35.336424581331904</v>
      </c>
      <c r="AW142" s="15">
        <v>34.53521854737636</v>
      </c>
      <c r="AX142" s="15">
        <v>77.074449260222011</v>
      </c>
      <c r="AY142" s="15">
        <v>84.953462279629207</v>
      </c>
      <c r="AZ142" s="15">
        <v>89.70276086056576</v>
      </c>
      <c r="BA142" s="15">
        <v>95.124147815475908</v>
      </c>
      <c r="BB142" s="15">
        <v>54.907764657130912</v>
      </c>
      <c r="BC142" s="15">
        <v>61.656083529367187</v>
      </c>
      <c r="BD142" s="15">
        <v>96.391894114252707</v>
      </c>
    </row>
    <row r="143" spans="1:56" x14ac:dyDescent="0.3">
      <c r="A143" s="18">
        <v>2016</v>
      </c>
      <c r="B143" s="6" t="s">
        <v>76</v>
      </c>
      <c r="C143" s="6" t="str">
        <f t="shared" si="8"/>
        <v>OR</v>
      </c>
      <c r="D143" s="6" t="str">
        <f t="shared" si="9"/>
        <v>俄勒冈州</v>
      </c>
      <c r="E143" s="14">
        <v>50.73503283836606</v>
      </c>
      <c r="F143" s="14">
        <v>45.786841982660107</v>
      </c>
      <c r="G143" s="14">
        <v>5.1133116093375559</v>
      </c>
      <c r="H143" s="14">
        <v>65.508520438053637</v>
      </c>
      <c r="I143" s="14">
        <v>87.076719855896201</v>
      </c>
      <c r="J143" s="14">
        <v>73.332246107179373</v>
      </c>
      <c r="K143" s="14">
        <v>63.244166318460273</v>
      </c>
      <c r="L143" s="14">
        <v>18.52224376713637</v>
      </c>
      <c r="M143" s="14">
        <v>8.0898751732745957</v>
      </c>
      <c r="N143" s="14">
        <v>93.724646832407416</v>
      </c>
      <c r="O143" s="14">
        <v>42.86766268712374</v>
      </c>
      <c r="P143" s="14">
        <v>93.566167874057939</v>
      </c>
      <c r="Q143" s="14">
        <v>54.647965045364167</v>
      </c>
      <c r="R143" s="14">
        <v>63.626469081058836</v>
      </c>
      <c r="S143" s="14">
        <v>19.761555497174211</v>
      </c>
      <c r="T143" s="14">
        <v>60.893423238723507</v>
      </c>
      <c r="U143" s="14">
        <v>5.6244838832915427</v>
      </c>
      <c r="V143" s="14">
        <v>44.363894119755187</v>
      </c>
      <c r="W143" s="14">
        <v>88.403245083269411</v>
      </c>
      <c r="X143" s="14">
        <v>85.491517026348674</v>
      </c>
      <c r="Y143" s="14">
        <v>18.229809640105088</v>
      </c>
      <c r="Z143" s="14">
        <v>69.260511664504477</v>
      </c>
      <c r="AA143" s="14">
        <v>13.191867835289273</v>
      </c>
      <c r="AB143" s="14">
        <v>19.712286978338501</v>
      </c>
      <c r="AC143" s="14">
        <v>77.253905060271663</v>
      </c>
      <c r="AD143" s="14">
        <v>55.598021776925421</v>
      </c>
      <c r="AE143" s="14">
        <v>5.8581770383317577</v>
      </c>
      <c r="AF143" s="14">
        <v>46.1939936889883</v>
      </c>
      <c r="AG143" s="14">
        <v>66.117396124459475</v>
      </c>
      <c r="AH143" s="14">
        <v>55.559699615091276</v>
      </c>
      <c r="AI143" s="14">
        <v>65.701616705043051</v>
      </c>
      <c r="AJ143" s="14">
        <v>81.780765308650246</v>
      </c>
      <c r="AK143" s="14">
        <v>67.651494250034503</v>
      </c>
      <c r="AL143" s="14">
        <v>54.914567444290896</v>
      </c>
      <c r="AM143" s="14">
        <v>20.917686375449051</v>
      </c>
      <c r="AN143" s="14">
        <v>34.07997255972667</v>
      </c>
      <c r="AO143" s="14">
        <v>74.859811602322353</v>
      </c>
      <c r="AP143" s="14">
        <v>44.358314796253353</v>
      </c>
      <c r="AQ143" s="14">
        <v>41.263996185448683</v>
      </c>
      <c r="AR143" s="14">
        <v>77.544621926305524</v>
      </c>
      <c r="AS143" s="14">
        <v>1.0623265519417391</v>
      </c>
      <c r="AT143" s="14">
        <v>50.545100999112321</v>
      </c>
      <c r="AU143" s="14">
        <v>79.462577568278618</v>
      </c>
      <c r="AV143" s="14">
        <v>57.244897023399552</v>
      </c>
      <c r="AW143" s="14">
        <v>6.1070559240481543</v>
      </c>
      <c r="AX143" s="14">
        <v>44.892489781387056</v>
      </c>
      <c r="AY143" s="14">
        <v>23.404182711885703</v>
      </c>
      <c r="AZ143" s="14">
        <v>9.5871469680261505</v>
      </c>
      <c r="BA143" s="14">
        <v>72.935189323622666</v>
      </c>
      <c r="BB143" s="14">
        <v>39.452706145332186</v>
      </c>
      <c r="BC143" s="14">
        <v>13.834796295428431</v>
      </c>
      <c r="BD143" s="14">
        <v>54.264973488596254</v>
      </c>
    </row>
    <row r="144" spans="1:56" x14ac:dyDescent="0.3">
      <c r="A144" s="19">
        <v>2016</v>
      </c>
      <c r="B144" s="8" t="s">
        <v>78</v>
      </c>
      <c r="C144" s="8" t="str">
        <f t="shared" si="8"/>
        <v>PA</v>
      </c>
      <c r="D144" s="8" t="str">
        <f t="shared" si="9"/>
        <v>宾西法尼亚</v>
      </c>
      <c r="E144" s="15">
        <v>33.324413917154125</v>
      </c>
      <c r="F144" s="15">
        <v>51.838180241484466</v>
      </c>
      <c r="G144" s="15">
        <v>32.062387162941285</v>
      </c>
      <c r="H144" s="15">
        <v>15.634101194515148</v>
      </c>
      <c r="I144" s="15">
        <v>34.962422308178631</v>
      </c>
      <c r="J144" s="15">
        <v>35.668193339816376</v>
      </c>
      <c r="K144" s="15">
        <v>7.4487441453076286</v>
      </c>
      <c r="L144" s="15">
        <v>94.132747325864457</v>
      </c>
      <c r="M144" s="15">
        <v>86.926604377427125</v>
      </c>
      <c r="N144" s="15">
        <v>66.323180076780304</v>
      </c>
      <c r="O144" s="15">
        <v>11.439936883646396</v>
      </c>
      <c r="P144" s="15">
        <v>8.9640591980970079</v>
      </c>
      <c r="Q144" s="15">
        <v>78.024340869462691</v>
      </c>
      <c r="R144" s="15">
        <v>50.194834531990516</v>
      </c>
      <c r="S144" s="15">
        <v>61.846598752718194</v>
      </c>
      <c r="T144" s="15">
        <v>93.321186494449819</v>
      </c>
      <c r="U144" s="15">
        <v>8.9752858407088798</v>
      </c>
      <c r="V144" s="15">
        <v>31.700777807636072</v>
      </c>
      <c r="W144" s="15">
        <v>4.4428324931295897</v>
      </c>
      <c r="X144" s="15">
        <v>52.06051746474116</v>
      </c>
      <c r="Y144" s="15">
        <v>59.872084287070507</v>
      </c>
      <c r="Z144" s="15">
        <v>83.446271888144992</v>
      </c>
      <c r="AA144" s="15">
        <v>47.001560021960351</v>
      </c>
      <c r="AB144" s="15">
        <v>25.835445448304149</v>
      </c>
      <c r="AC144" s="15">
        <v>63.054545871509994</v>
      </c>
      <c r="AD144" s="15">
        <v>66.536353237171454</v>
      </c>
      <c r="AE144" s="15">
        <v>91.515989966658609</v>
      </c>
      <c r="AF144" s="15">
        <v>36.616837881814682</v>
      </c>
      <c r="AG144" s="15">
        <v>79.413774041505434</v>
      </c>
      <c r="AH144" s="15">
        <v>19.760288049653564</v>
      </c>
      <c r="AI144" s="15">
        <v>20.042604556388266</v>
      </c>
      <c r="AJ144" s="15">
        <v>74.33396951072028</v>
      </c>
      <c r="AK144" s="15">
        <v>16.264644770311619</v>
      </c>
      <c r="AL144" s="15">
        <v>18.891033263753986</v>
      </c>
      <c r="AM144" s="15">
        <v>45.229593386331487</v>
      </c>
      <c r="AN144" s="15">
        <v>78.975161828994331</v>
      </c>
      <c r="AO144" s="15">
        <v>3.8576638095153326</v>
      </c>
      <c r="AP144" s="15">
        <v>8.3939798301695951</v>
      </c>
      <c r="AQ144" s="15">
        <v>61.302990414933646</v>
      </c>
      <c r="AR144" s="15">
        <v>8.7577180685290852</v>
      </c>
      <c r="AS144" s="15">
        <v>97.588115076900252</v>
      </c>
      <c r="AT144" s="15">
        <v>85.761742446737387</v>
      </c>
      <c r="AU144" s="15">
        <v>82.35132469249946</v>
      </c>
      <c r="AV144" s="15">
        <v>93.498720425054302</v>
      </c>
      <c r="AW144" s="15">
        <v>7.2678309426998151</v>
      </c>
      <c r="AX144" s="15">
        <v>79.011199758639066</v>
      </c>
      <c r="AY144" s="15">
        <v>71.361709659909749</v>
      </c>
      <c r="AZ144" s="15">
        <v>75.14133859290007</v>
      </c>
      <c r="BA144" s="15">
        <v>64.261686777234146</v>
      </c>
      <c r="BB144" s="15">
        <v>33.974516359615258</v>
      </c>
      <c r="BC144" s="15">
        <v>4.1074688788804048</v>
      </c>
      <c r="BD144" s="15">
        <v>96.047772421211448</v>
      </c>
    </row>
    <row r="145" spans="1:56" x14ac:dyDescent="0.3">
      <c r="A145" s="18">
        <v>2016</v>
      </c>
      <c r="B145" s="6" t="s">
        <v>82</v>
      </c>
      <c r="C145" s="6" t="str">
        <f t="shared" si="8"/>
        <v>RI</v>
      </c>
      <c r="D145" s="6" t="str">
        <f t="shared" si="9"/>
        <v>罗德岛州</v>
      </c>
      <c r="E145" s="14">
        <v>28.352279062888432</v>
      </c>
      <c r="F145" s="14">
        <v>15.212902048209621</v>
      </c>
      <c r="G145" s="14">
        <v>13.267858013782774</v>
      </c>
      <c r="H145" s="14">
        <v>99.982907331887077</v>
      </c>
      <c r="I145" s="14">
        <v>7.4593780764294131</v>
      </c>
      <c r="J145" s="14">
        <v>48.140870092084732</v>
      </c>
      <c r="K145" s="14">
        <v>20.855623374411881</v>
      </c>
      <c r="L145" s="14">
        <v>12.529874939845842</v>
      </c>
      <c r="M145" s="14">
        <v>80.483366159976541</v>
      </c>
      <c r="N145" s="14">
        <v>87.438793789946672</v>
      </c>
      <c r="O145" s="14">
        <v>10.094453413984617</v>
      </c>
      <c r="P145" s="14">
        <v>9.6215604046739891</v>
      </c>
      <c r="Q145" s="14">
        <v>10.537460204298188</v>
      </c>
      <c r="R145" s="14">
        <v>41.735787634396729</v>
      </c>
      <c r="S145" s="14">
        <v>30.789268270564317</v>
      </c>
      <c r="T145" s="14">
        <v>29.176484358995623</v>
      </c>
      <c r="U145" s="14">
        <v>21.987192051515692</v>
      </c>
      <c r="V145" s="14">
        <v>1.741523321196492</v>
      </c>
      <c r="W145" s="14">
        <v>98.678155984020862</v>
      </c>
      <c r="X145" s="14">
        <v>45.580503883278453</v>
      </c>
      <c r="Y145" s="14">
        <v>69.456820312439504</v>
      </c>
      <c r="Z145" s="14">
        <v>4.5068078835679533</v>
      </c>
      <c r="AA145" s="14">
        <v>89.447886619802205</v>
      </c>
      <c r="AB145" s="14">
        <v>72.441704633919485</v>
      </c>
      <c r="AC145" s="14">
        <v>9.5744272148756355</v>
      </c>
      <c r="AD145" s="14">
        <v>87.287061608478055</v>
      </c>
      <c r="AE145" s="14">
        <v>14.862015302048459</v>
      </c>
      <c r="AF145" s="14">
        <v>84.534660163259474</v>
      </c>
      <c r="AG145" s="14">
        <v>51.264706698935157</v>
      </c>
      <c r="AH145" s="14">
        <v>93.88361085077527</v>
      </c>
      <c r="AI145" s="14">
        <v>14.906761763646237</v>
      </c>
      <c r="AJ145" s="14">
        <v>90.991376231250015</v>
      </c>
      <c r="AK145" s="14">
        <v>40.648071615103731</v>
      </c>
      <c r="AL145" s="14">
        <v>11.850723190869939</v>
      </c>
      <c r="AM145" s="14">
        <v>5.0111571626783142</v>
      </c>
      <c r="AN145" s="14">
        <v>38.491644391169785</v>
      </c>
      <c r="AO145" s="14">
        <v>49.071916609433863</v>
      </c>
      <c r="AP145" s="14">
        <v>20.710262211939799</v>
      </c>
      <c r="AQ145" s="14">
        <v>43.438267814055465</v>
      </c>
      <c r="AR145" s="14">
        <v>46.997873570470524</v>
      </c>
      <c r="AS145" s="14">
        <v>96.347277111892609</v>
      </c>
      <c r="AT145" s="14">
        <v>19.392165260417769</v>
      </c>
      <c r="AU145" s="14">
        <v>68.088859929122819</v>
      </c>
      <c r="AV145" s="14">
        <v>86.803663360996509</v>
      </c>
      <c r="AW145" s="14">
        <v>94.717725362068364</v>
      </c>
      <c r="AX145" s="14">
        <v>27.880423485928883</v>
      </c>
      <c r="AY145" s="14">
        <v>72.609552967639416</v>
      </c>
      <c r="AZ145" s="14">
        <v>7.4113719651216492</v>
      </c>
      <c r="BA145" s="14">
        <v>51.637047997728601</v>
      </c>
      <c r="BB145" s="14">
        <v>74.712698490415434</v>
      </c>
      <c r="BC145" s="14">
        <v>71.332797471468865</v>
      </c>
      <c r="BD145" s="14">
        <v>50.261916575608069</v>
      </c>
    </row>
    <row r="146" spans="1:56" x14ac:dyDescent="0.3">
      <c r="A146" s="19">
        <v>2016</v>
      </c>
      <c r="B146" s="8" t="s">
        <v>84</v>
      </c>
      <c r="C146" s="8" t="str">
        <f t="shared" si="8"/>
        <v>SC</v>
      </c>
      <c r="D146" s="8" t="str">
        <f t="shared" si="9"/>
        <v>南卡罗来纳</v>
      </c>
      <c r="E146" s="15">
        <v>19.715792462057212</v>
      </c>
      <c r="F146" s="15">
        <v>79.165779611264426</v>
      </c>
      <c r="G146" s="15">
        <v>47.815166304185929</v>
      </c>
      <c r="H146" s="15">
        <v>45.362440174689269</v>
      </c>
      <c r="I146" s="15">
        <v>84.576695266429297</v>
      </c>
      <c r="J146" s="15">
        <v>94.835739808917793</v>
      </c>
      <c r="K146" s="15">
        <v>32.147740295498139</v>
      </c>
      <c r="L146" s="15">
        <v>9.0633532547451328</v>
      </c>
      <c r="M146" s="15">
        <v>27.638343116994314</v>
      </c>
      <c r="N146" s="15">
        <v>81.354995049613848</v>
      </c>
      <c r="O146" s="15">
        <v>86.325393760948572</v>
      </c>
      <c r="P146" s="15">
        <v>73.453480697014967</v>
      </c>
      <c r="Q146" s="15">
        <v>79.694043958820586</v>
      </c>
      <c r="R146" s="15">
        <v>51.783487044618347</v>
      </c>
      <c r="S146" s="15">
        <v>35.274604020113884</v>
      </c>
      <c r="T146" s="15">
        <v>29.661125495972119</v>
      </c>
      <c r="U146" s="15">
        <v>8.9252507504155698</v>
      </c>
      <c r="V146" s="15">
        <v>19.352037192239301</v>
      </c>
      <c r="W146" s="15">
        <v>78.940419952897557</v>
      </c>
      <c r="X146" s="15">
        <v>97.67869785898732</v>
      </c>
      <c r="Y146" s="15">
        <v>57.000365149730925</v>
      </c>
      <c r="Z146" s="15">
        <v>75.647821140224551</v>
      </c>
      <c r="AA146" s="15">
        <v>74.132405557500093</v>
      </c>
      <c r="AB146" s="15">
        <v>50.136490177122049</v>
      </c>
      <c r="AC146" s="15">
        <v>87.77818087900225</v>
      </c>
      <c r="AD146" s="15">
        <v>6.1450979017134255</v>
      </c>
      <c r="AE146" s="15">
        <v>28.827963321245765</v>
      </c>
      <c r="AF146" s="15">
        <v>4.8737295732709462</v>
      </c>
      <c r="AG146" s="15">
        <v>36.780383767632742</v>
      </c>
      <c r="AH146" s="15">
        <v>1.6520872344297</v>
      </c>
      <c r="AI146" s="15">
        <v>11.887898084631276</v>
      </c>
      <c r="AJ146" s="15">
        <v>71.965010006888605</v>
      </c>
      <c r="AK146" s="15">
        <v>66.237582930956606</v>
      </c>
      <c r="AL146" s="15">
        <v>46.85108648145119</v>
      </c>
      <c r="AM146" s="15">
        <v>88.980824123059065</v>
      </c>
      <c r="AN146" s="15">
        <v>80.518536931268827</v>
      </c>
      <c r="AO146" s="15">
        <v>95.683716978911889</v>
      </c>
      <c r="AP146" s="15">
        <v>69.423474186110539</v>
      </c>
      <c r="AQ146" s="15">
        <v>54.156261064030723</v>
      </c>
      <c r="AR146" s="15">
        <v>61.868451573770187</v>
      </c>
      <c r="AS146" s="15">
        <v>75.558086258382176</v>
      </c>
      <c r="AT146" s="15">
        <v>56.465787793193591</v>
      </c>
      <c r="AU146" s="15">
        <v>22.973409847941017</v>
      </c>
      <c r="AV146" s="15">
        <v>75.662055532206068</v>
      </c>
      <c r="AW146" s="15">
        <v>84.620855103932556</v>
      </c>
      <c r="AX146" s="15">
        <v>18.834643020574671</v>
      </c>
      <c r="AY146" s="15">
        <v>23.722127755942545</v>
      </c>
      <c r="AZ146" s="15">
        <v>58.459188945884414</v>
      </c>
      <c r="BA146" s="15">
        <v>81.642909341899468</v>
      </c>
      <c r="BB146" s="15">
        <v>4.5896778465245642</v>
      </c>
      <c r="BC146" s="15">
        <v>47.749084560084853</v>
      </c>
      <c r="BD146" s="15">
        <v>60.940322613664385</v>
      </c>
    </row>
    <row r="147" spans="1:56" x14ac:dyDescent="0.3">
      <c r="A147" s="18">
        <v>2016</v>
      </c>
      <c r="B147" s="6" t="s">
        <v>86</v>
      </c>
      <c r="C147" s="6" t="str">
        <f t="shared" si="8"/>
        <v>SD</v>
      </c>
      <c r="D147" s="6" t="str">
        <f t="shared" si="9"/>
        <v>南达科他州</v>
      </c>
      <c r="E147" s="14">
        <v>10.653783373899062</v>
      </c>
      <c r="F147" s="14">
        <v>50.91253342670344</v>
      </c>
      <c r="G147" s="14">
        <v>13.332875908480169</v>
      </c>
      <c r="H147" s="14">
        <v>74.08970295234171</v>
      </c>
      <c r="I147" s="14">
        <v>87.919513085476567</v>
      </c>
      <c r="J147" s="14">
        <v>96.165542849305808</v>
      </c>
      <c r="K147" s="14">
        <v>90.966295487247919</v>
      </c>
      <c r="L147" s="14">
        <v>91.474249971803872</v>
      </c>
      <c r="M147" s="14">
        <v>76.500627675032163</v>
      </c>
      <c r="N147" s="14">
        <v>27.97769970558527</v>
      </c>
      <c r="O147" s="14">
        <v>3.1242757904693663</v>
      </c>
      <c r="P147" s="14">
        <v>47.76197233250555</v>
      </c>
      <c r="Q147" s="14">
        <v>64.169272416716822</v>
      </c>
      <c r="R147" s="14">
        <v>78.298368048332421</v>
      </c>
      <c r="S147" s="14">
        <v>91.18923350927183</v>
      </c>
      <c r="T147" s="14">
        <v>73.51665595817515</v>
      </c>
      <c r="U147" s="14">
        <v>53.116346734558192</v>
      </c>
      <c r="V147" s="14">
        <v>68.038476945118532</v>
      </c>
      <c r="W147" s="14">
        <v>80.887919198354695</v>
      </c>
      <c r="X147" s="14">
        <v>5.5305201259440935</v>
      </c>
      <c r="Y147" s="14">
        <v>25.467598708221416</v>
      </c>
      <c r="Z147" s="14">
        <v>37.028359699255276</v>
      </c>
      <c r="AA147" s="14">
        <v>8.3387990710846012</v>
      </c>
      <c r="AB147" s="14">
        <v>64.040316209016439</v>
      </c>
      <c r="AC147" s="14">
        <v>72.238807825743436</v>
      </c>
      <c r="AD147" s="14">
        <v>63.724348245442165</v>
      </c>
      <c r="AE147" s="14">
        <v>21.29960965547858</v>
      </c>
      <c r="AF147" s="14">
        <v>38.698593318100372</v>
      </c>
      <c r="AG147" s="14">
        <v>45.546068701082298</v>
      </c>
      <c r="AH147" s="14">
        <v>17.950347555723368</v>
      </c>
      <c r="AI147" s="14">
        <v>85.461498412627947</v>
      </c>
      <c r="AJ147" s="14">
        <v>40.070368309883044</v>
      </c>
      <c r="AK147" s="14">
        <v>14.877807707098823</v>
      </c>
      <c r="AL147" s="14">
        <v>48.029870742232262</v>
      </c>
      <c r="AM147" s="14">
        <v>62.316775169455987</v>
      </c>
      <c r="AN147" s="14">
        <v>64.636958063027976</v>
      </c>
      <c r="AO147" s="14">
        <v>82.114697288022867</v>
      </c>
      <c r="AP147" s="14">
        <v>24.183185305339816</v>
      </c>
      <c r="AQ147" s="14">
        <v>56.629967270142309</v>
      </c>
      <c r="AR147" s="14">
        <v>80.196324736550309</v>
      </c>
      <c r="AS147" s="14">
        <v>33.829654411000263</v>
      </c>
      <c r="AT147" s="14">
        <v>80.626568117188285</v>
      </c>
      <c r="AU147" s="14">
        <v>49.222897938386666</v>
      </c>
      <c r="AV147" s="14">
        <v>43.157279881704611</v>
      </c>
      <c r="AW147" s="14">
        <v>77.336201829127845</v>
      </c>
      <c r="AX147" s="14">
        <v>47.151195855724282</v>
      </c>
      <c r="AY147" s="14">
        <v>30.276374089426238</v>
      </c>
      <c r="AZ147" s="14">
        <v>18.563778968394196</v>
      </c>
      <c r="BA147" s="14">
        <v>82.993401294023016</v>
      </c>
      <c r="BB147" s="14">
        <v>61.968008378269758</v>
      </c>
      <c r="BC147" s="14">
        <v>91.256693268352365</v>
      </c>
      <c r="BD147" s="14">
        <v>42.832539613859019</v>
      </c>
    </row>
    <row r="148" spans="1:56" x14ac:dyDescent="0.3">
      <c r="A148" s="19">
        <v>2016</v>
      </c>
      <c r="B148" s="8" t="s">
        <v>88</v>
      </c>
      <c r="C148" s="8" t="str">
        <f t="shared" si="8"/>
        <v>TN</v>
      </c>
      <c r="D148" s="8" t="str">
        <f t="shared" si="9"/>
        <v>田纳西州</v>
      </c>
      <c r="E148" s="15">
        <v>19.507911892800056</v>
      </c>
      <c r="F148" s="15">
        <v>55.293090957299142</v>
      </c>
      <c r="G148" s="15">
        <v>41.381028060383521</v>
      </c>
      <c r="H148" s="15">
        <v>79.568703790721557</v>
      </c>
      <c r="I148" s="15">
        <v>30.517049904521876</v>
      </c>
      <c r="J148" s="15">
        <v>21.221073718632443</v>
      </c>
      <c r="K148" s="15">
        <v>73.737443750339608</v>
      </c>
      <c r="L148" s="15">
        <v>80.358657881401143</v>
      </c>
      <c r="M148" s="15">
        <v>88.63483943023202</v>
      </c>
      <c r="N148" s="15">
        <v>88.205183410504034</v>
      </c>
      <c r="O148" s="15">
        <v>13.298357844356923</v>
      </c>
      <c r="P148" s="15">
        <v>81.401992511303959</v>
      </c>
      <c r="Q148" s="15">
        <v>22.603466920107607</v>
      </c>
      <c r="R148" s="15">
        <v>16.141242888820184</v>
      </c>
      <c r="S148" s="15">
        <v>43.943479631785628</v>
      </c>
      <c r="T148" s="15">
        <v>27.277974091672807</v>
      </c>
      <c r="U148" s="15">
        <v>23.141395203526084</v>
      </c>
      <c r="V148" s="15">
        <v>64.844229078721639</v>
      </c>
      <c r="W148" s="15">
        <v>40.045690841855155</v>
      </c>
      <c r="X148" s="15">
        <v>81.574543047108662</v>
      </c>
      <c r="Y148" s="15">
        <v>98.296150458239936</v>
      </c>
      <c r="Z148" s="15">
        <v>31.492074429759608</v>
      </c>
      <c r="AA148" s="15">
        <v>72.154809867614446</v>
      </c>
      <c r="AB148" s="15">
        <v>34.713394280079555</v>
      </c>
      <c r="AC148" s="15">
        <v>1.882038447652834</v>
      </c>
      <c r="AD148" s="15">
        <v>49.801986143191556</v>
      </c>
      <c r="AE148" s="15">
        <v>80.331481688900084</v>
      </c>
      <c r="AF148" s="15">
        <v>73.874381497848731</v>
      </c>
      <c r="AG148" s="15">
        <v>24.657857209224211</v>
      </c>
      <c r="AH148" s="15">
        <v>21.756795939691788</v>
      </c>
      <c r="AI148" s="15">
        <v>58.643808060049388</v>
      </c>
      <c r="AJ148" s="15">
        <v>8.7955877171676846</v>
      </c>
      <c r="AK148" s="15">
        <v>63.391512741010892</v>
      </c>
      <c r="AL148" s="15">
        <v>65.996038579322203</v>
      </c>
      <c r="AM148" s="15">
        <v>65.318264857705827</v>
      </c>
      <c r="AN148" s="15">
        <v>45.789050530096809</v>
      </c>
      <c r="AO148" s="15">
        <v>77.881874185164094</v>
      </c>
      <c r="AP148" s="15">
        <v>86.033376851184343</v>
      </c>
      <c r="AQ148" s="15">
        <v>54.523109451126828</v>
      </c>
      <c r="AR148" s="15">
        <v>51.155484286952159</v>
      </c>
      <c r="AS148" s="15">
        <v>79.590687674194697</v>
      </c>
      <c r="AT148" s="15">
        <v>35.382044609221843</v>
      </c>
      <c r="AU148" s="15">
        <v>67.896400920485249</v>
      </c>
      <c r="AV148" s="15">
        <v>41.530165938708308</v>
      </c>
      <c r="AW148" s="15">
        <v>28.03985627798188</v>
      </c>
      <c r="AX148" s="15">
        <v>39.733139110235392</v>
      </c>
      <c r="AY148" s="15">
        <v>2.5876946723415339</v>
      </c>
      <c r="AZ148" s="15">
        <v>14.546318316801765</v>
      </c>
      <c r="BA148" s="15">
        <v>72.853836055097815</v>
      </c>
      <c r="BB148" s="15">
        <v>1.2536213564615428</v>
      </c>
      <c r="BC148" s="15">
        <v>80.189810191528238</v>
      </c>
      <c r="BD148" s="15">
        <v>55.928274936644598</v>
      </c>
    </row>
    <row r="149" spans="1:56" x14ac:dyDescent="0.3">
      <c r="A149" s="18">
        <v>2016</v>
      </c>
      <c r="B149" s="6" t="s">
        <v>90</v>
      </c>
      <c r="C149" s="6" t="str">
        <f t="shared" si="8"/>
        <v>TX</v>
      </c>
      <c r="D149" s="6" t="str">
        <f t="shared" si="9"/>
        <v>德州</v>
      </c>
      <c r="E149" s="14">
        <v>6.8684685375287158</v>
      </c>
      <c r="F149" s="14">
        <v>61.383653278505378</v>
      </c>
      <c r="G149" s="14">
        <v>62.772078072335582</v>
      </c>
      <c r="H149" s="14">
        <v>4.7904534612260852</v>
      </c>
      <c r="I149" s="14">
        <v>8.1913372825233033</v>
      </c>
      <c r="J149" s="14">
        <v>4.6976213981552162</v>
      </c>
      <c r="K149" s="14">
        <v>23.285870963031151</v>
      </c>
      <c r="L149" s="14">
        <v>91.444038183828397</v>
      </c>
      <c r="M149" s="14">
        <v>73.723232625894624</v>
      </c>
      <c r="N149" s="14">
        <v>9.3928810079080058</v>
      </c>
      <c r="O149" s="14">
        <v>52.292432968889102</v>
      </c>
      <c r="P149" s="14">
        <v>30.029900871713867</v>
      </c>
      <c r="Q149" s="14">
        <v>54.900003618300261</v>
      </c>
      <c r="R149" s="14">
        <v>2.0631689113681406</v>
      </c>
      <c r="S149" s="14">
        <v>1.9632493148558972</v>
      </c>
      <c r="T149" s="14">
        <v>31.125905877997205</v>
      </c>
      <c r="U149" s="14">
        <v>33.777807194909968</v>
      </c>
      <c r="V149" s="14">
        <v>37.153945305818027</v>
      </c>
      <c r="W149" s="14">
        <v>64.329922779929333</v>
      </c>
      <c r="X149" s="14">
        <v>86.948327049260087</v>
      </c>
      <c r="Y149" s="14">
        <v>1.1893418915809972</v>
      </c>
      <c r="Z149" s="14">
        <v>92.936187640678895</v>
      </c>
      <c r="AA149" s="14">
        <v>41.054910311110312</v>
      </c>
      <c r="AB149" s="14">
        <v>78.142945417075353</v>
      </c>
      <c r="AC149" s="14">
        <v>50.011240634315492</v>
      </c>
      <c r="AD149" s="14">
        <v>36.229444124470078</v>
      </c>
      <c r="AE149" s="14">
        <v>45.909305394875318</v>
      </c>
      <c r="AF149" s="14">
        <v>24.846268576937767</v>
      </c>
      <c r="AG149" s="14">
        <v>3.4387267732806315</v>
      </c>
      <c r="AH149" s="14">
        <v>87.324519071035027</v>
      </c>
      <c r="AI149" s="14">
        <v>8.1065063633195322</v>
      </c>
      <c r="AJ149" s="14">
        <v>99.741867019083159</v>
      </c>
      <c r="AK149" s="14">
        <v>20.356816820338064</v>
      </c>
      <c r="AL149" s="14">
        <v>69.437169448125971</v>
      </c>
      <c r="AM149" s="14">
        <v>5.2302426624050931</v>
      </c>
      <c r="AN149" s="14">
        <v>93.093099122206496</v>
      </c>
      <c r="AO149" s="14">
        <v>11.337893285444089</v>
      </c>
      <c r="AP149" s="14">
        <v>0.97683620471021859</v>
      </c>
      <c r="AQ149" s="14">
        <v>26.534092754852757</v>
      </c>
      <c r="AR149" s="14">
        <v>55.017585760015606</v>
      </c>
      <c r="AS149" s="14">
        <v>68.238264171048996</v>
      </c>
      <c r="AT149" s="14">
        <v>74.106973073874158</v>
      </c>
      <c r="AU149" s="14">
        <v>64.162446289477842</v>
      </c>
      <c r="AV149" s="14">
        <v>99.300976420652603</v>
      </c>
      <c r="AW149" s="14">
        <v>9.5688030952602254</v>
      </c>
      <c r="AX149" s="14">
        <v>74.85800060876727</v>
      </c>
      <c r="AY149" s="14">
        <v>47.244426117816637</v>
      </c>
      <c r="AZ149" s="14">
        <v>99.034874648995185</v>
      </c>
      <c r="BA149" s="14">
        <v>60.054511403858413</v>
      </c>
      <c r="BB149" s="14">
        <v>35.051894817858432</v>
      </c>
      <c r="BC149" s="14">
        <v>65.640116204013907</v>
      </c>
      <c r="BD149" s="14">
        <v>49.579730731587986</v>
      </c>
    </row>
    <row r="150" spans="1:56" x14ac:dyDescent="0.3">
      <c r="A150" s="19">
        <v>2016</v>
      </c>
      <c r="B150" s="8" t="s">
        <v>92</v>
      </c>
      <c r="C150" s="8" t="str">
        <f t="shared" si="8"/>
        <v>UT</v>
      </c>
      <c r="D150" s="8" t="str">
        <f t="shared" si="9"/>
        <v>犹他州</v>
      </c>
      <c r="E150" s="15">
        <v>83.958466390268015</v>
      </c>
      <c r="F150" s="15">
        <v>54.706637353581677</v>
      </c>
      <c r="G150" s="15">
        <v>33.457901154187994</v>
      </c>
      <c r="H150" s="15">
        <v>46.309014734262334</v>
      </c>
      <c r="I150" s="15">
        <v>51.315948713910906</v>
      </c>
      <c r="J150" s="15">
        <v>47.584425198417414</v>
      </c>
      <c r="K150" s="15">
        <v>71.815523724953252</v>
      </c>
      <c r="L150" s="15">
        <v>47.745304321589188</v>
      </c>
      <c r="M150" s="15">
        <v>84.325369856127466</v>
      </c>
      <c r="N150" s="15">
        <v>0.20354989391498934</v>
      </c>
      <c r="O150" s="15">
        <v>78.897143297738083</v>
      </c>
      <c r="P150" s="15">
        <v>66.613452629927224</v>
      </c>
      <c r="Q150" s="15">
        <v>87.156687238597414</v>
      </c>
      <c r="R150" s="15">
        <v>40.847976985551867</v>
      </c>
      <c r="S150" s="15">
        <v>65.476882794811729</v>
      </c>
      <c r="T150" s="15">
        <v>89.959758870313962</v>
      </c>
      <c r="U150" s="15">
        <v>66.96294419151107</v>
      </c>
      <c r="V150" s="15">
        <v>0.52291861349995639</v>
      </c>
      <c r="W150" s="15">
        <v>26.747707438385625</v>
      </c>
      <c r="X150" s="15">
        <v>93.948591146066263</v>
      </c>
      <c r="Y150" s="15">
        <v>70.93681273837538</v>
      </c>
      <c r="Z150" s="15">
        <v>46.183470599931695</v>
      </c>
      <c r="AA150" s="15">
        <v>38.137750747374653</v>
      </c>
      <c r="AB150" s="15">
        <v>0.22701027844070909</v>
      </c>
      <c r="AC150" s="15">
        <v>94.556432006566865</v>
      </c>
      <c r="AD150" s="15">
        <v>39.569087934920532</v>
      </c>
      <c r="AE150" s="15">
        <v>38.145487570166338</v>
      </c>
      <c r="AF150" s="15">
        <v>38.77011200987279</v>
      </c>
      <c r="AG150" s="15">
        <v>3.3541877549896792</v>
      </c>
      <c r="AH150" s="15">
        <v>92.926311522114148</v>
      </c>
      <c r="AI150" s="15">
        <v>29.276850426133716</v>
      </c>
      <c r="AJ150" s="15">
        <v>35.053009815156834</v>
      </c>
      <c r="AK150" s="15">
        <v>61.096258640418512</v>
      </c>
      <c r="AL150" s="15">
        <v>45.815197087019278</v>
      </c>
      <c r="AM150" s="15">
        <v>46.424482121449884</v>
      </c>
      <c r="AN150" s="15">
        <v>22.851086759708373</v>
      </c>
      <c r="AO150" s="15">
        <v>90.427316734400691</v>
      </c>
      <c r="AP150" s="15">
        <v>35.806102847348939</v>
      </c>
      <c r="AQ150" s="15">
        <v>62.70024737110824</v>
      </c>
      <c r="AR150" s="15">
        <v>9.4168723830478136</v>
      </c>
      <c r="AS150" s="15">
        <v>54.845342005892114</v>
      </c>
      <c r="AT150" s="15">
        <v>16.235666936433336</v>
      </c>
      <c r="AU150" s="15">
        <v>92.482304389996898</v>
      </c>
      <c r="AV150" s="15">
        <v>20.806756981897756</v>
      </c>
      <c r="AW150" s="15">
        <v>49.451755514749031</v>
      </c>
      <c r="AX150" s="15">
        <v>38.335120613232412</v>
      </c>
      <c r="AY150" s="15">
        <v>58.652350363810299</v>
      </c>
      <c r="AZ150" s="15">
        <v>12.790916093031745</v>
      </c>
      <c r="BA150" s="15">
        <v>44.714819448275001</v>
      </c>
      <c r="BB150" s="15">
        <v>77.10957062550591</v>
      </c>
      <c r="BC150" s="15">
        <v>71.687630624509609</v>
      </c>
      <c r="BD150" s="15">
        <v>91.264954708324822</v>
      </c>
    </row>
    <row r="151" spans="1:56" x14ac:dyDescent="0.3">
      <c r="A151" s="18">
        <v>2016</v>
      </c>
      <c r="B151" s="6" t="s">
        <v>94</v>
      </c>
      <c r="C151" s="6" t="str">
        <f t="shared" si="8"/>
        <v>VT</v>
      </c>
      <c r="D151" s="6" t="str">
        <f t="shared" si="9"/>
        <v>佛蒙特州</v>
      </c>
      <c r="E151" s="14">
        <v>92.890693175982619</v>
      </c>
      <c r="F151" s="14">
        <v>87.711704968609666</v>
      </c>
      <c r="G151" s="14">
        <v>36.630000344723634</v>
      </c>
      <c r="H151" s="14">
        <v>8.0526096768824491</v>
      </c>
      <c r="I151" s="14">
        <v>55.205190133591167</v>
      </c>
      <c r="J151" s="14">
        <v>35.522865588993987</v>
      </c>
      <c r="K151" s="14">
        <v>73.324759894272702</v>
      </c>
      <c r="L151" s="14">
        <v>15.290697544989495</v>
      </c>
      <c r="M151" s="14">
        <v>12.83266266402997</v>
      </c>
      <c r="N151" s="14">
        <v>19.576472643273146</v>
      </c>
      <c r="O151" s="14">
        <v>12.205303017572277</v>
      </c>
      <c r="P151" s="14">
        <v>93.89085688779474</v>
      </c>
      <c r="Q151" s="14">
        <v>57.144831030174217</v>
      </c>
      <c r="R151" s="14">
        <v>69.283650422594661</v>
      </c>
      <c r="S151" s="14">
        <v>45.110115986637346</v>
      </c>
      <c r="T151" s="14">
        <v>75.213536361177091</v>
      </c>
      <c r="U151" s="14">
        <v>74.665614942040335</v>
      </c>
      <c r="V151" s="14">
        <v>53.585037968573786</v>
      </c>
      <c r="W151" s="14">
        <v>38.920544261920739</v>
      </c>
      <c r="X151" s="14">
        <v>96.860794348447058</v>
      </c>
      <c r="Y151" s="14">
        <v>77.163469178188564</v>
      </c>
      <c r="Z151" s="14">
        <v>30.473467003403755</v>
      </c>
      <c r="AA151" s="14">
        <v>53.289780893980108</v>
      </c>
      <c r="AB151" s="14">
        <v>41.741235143696706</v>
      </c>
      <c r="AC151" s="14">
        <v>83.947361222832654</v>
      </c>
      <c r="AD151" s="14">
        <v>68.863748899935388</v>
      </c>
      <c r="AE151" s="14">
        <v>36.272868281975036</v>
      </c>
      <c r="AF151" s="14">
        <v>55.076761633016361</v>
      </c>
      <c r="AG151" s="14">
        <v>89.275845213082434</v>
      </c>
      <c r="AH151" s="14">
        <v>38.99394835002655</v>
      </c>
      <c r="AI151" s="14">
        <v>28.320915527169564</v>
      </c>
      <c r="AJ151" s="14">
        <v>23.904853566667526</v>
      </c>
      <c r="AK151" s="14">
        <v>84.458790609813107</v>
      </c>
      <c r="AL151" s="14">
        <v>20.842171448515501</v>
      </c>
      <c r="AM151" s="14">
        <v>43.273306432597366</v>
      </c>
      <c r="AN151" s="14">
        <v>87.852072973932067</v>
      </c>
      <c r="AO151" s="14">
        <v>78.216592693049265</v>
      </c>
      <c r="AP151" s="14">
        <v>9.6151762002754442</v>
      </c>
      <c r="AQ151" s="14">
        <v>19.997519982673463</v>
      </c>
      <c r="AR151" s="14">
        <v>9.4962122832363054</v>
      </c>
      <c r="AS151" s="14">
        <v>15.469533880179098</v>
      </c>
      <c r="AT151" s="14">
        <v>12.070578148015521</v>
      </c>
      <c r="AU151" s="14">
        <v>97.612930582563351</v>
      </c>
      <c r="AV151" s="14">
        <v>79.23686142509284</v>
      </c>
      <c r="AW151" s="14">
        <v>48.525208667169331</v>
      </c>
      <c r="AX151" s="14">
        <v>51.858386360294617</v>
      </c>
      <c r="AY151" s="14">
        <v>53.90714999545996</v>
      </c>
      <c r="AZ151" s="14">
        <v>76.325942386944931</v>
      </c>
      <c r="BA151" s="14">
        <v>58.677762032474945</v>
      </c>
      <c r="BB151" s="14">
        <v>55.663460897020769</v>
      </c>
      <c r="BC151" s="14">
        <v>36.160435794939495</v>
      </c>
      <c r="BD151" s="14">
        <v>90.826843836679018</v>
      </c>
    </row>
    <row r="152" spans="1:56" x14ac:dyDescent="0.3">
      <c r="A152" s="19">
        <v>2016</v>
      </c>
      <c r="B152" s="8" t="s">
        <v>96</v>
      </c>
      <c r="C152" s="8" t="str">
        <f t="shared" si="8"/>
        <v>VA</v>
      </c>
      <c r="D152" s="8" t="str">
        <f t="shared" si="9"/>
        <v>维吉尼亚州</v>
      </c>
      <c r="E152" s="15">
        <v>37.007612085175211</v>
      </c>
      <c r="F152" s="15">
        <v>35.309173712655095</v>
      </c>
      <c r="G152" s="15">
        <v>49.012557778664622</v>
      </c>
      <c r="H152" s="15">
        <v>37.239155670128021</v>
      </c>
      <c r="I152" s="15">
        <v>48.563564740910046</v>
      </c>
      <c r="J152" s="15">
        <v>0.7741851075940942</v>
      </c>
      <c r="K152" s="15">
        <v>57.423583686172229</v>
      </c>
      <c r="L152" s="15">
        <v>30.879918511461412</v>
      </c>
      <c r="M152" s="15">
        <v>48.521602831649638</v>
      </c>
      <c r="N152" s="15">
        <v>37.596428174375632</v>
      </c>
      <c r="O152" s="15">
        <v>62.749054408207513</v>
      </c>
      <c r="P152" s="15">
        <v>79.875644017920223</v>
      </c>
      <c r="Q152" s="15">
        <v>7.7201468372983246</v>
      </c>
      <c r="R152" s="15">
        <v>19.095821352893459</v>
      </c>
      <c r="S152" s="15">
        <v>95.394682423603371</v>
      </c>
      <c r="T152" s="15">
        <v>90.11014484786628</v>
      </c>
      <c r="U152" s="15">
        <v>25.269352198720576</v>
      </c>
      <c r="V152" s="15">
        <v>66.092077593517544</v>
      </c>
      <c r="W152" s="15">
        <v>16.332135702949369</v>
      </c>
      <c r="X152" s="15">
        <v>23.281709869938339</v>
      </c>
      <c r="Y152" s="15">
        <v>41.810361307182411</v>
      </c>
      <c r="Z152" s="15">
        <v>5.8977200305497242</v>
      </c>
      <c r="AA152" s="15">
        <v>99.152524048522238</v>
      </c>
      <c r="AB152" s="15">
        <v>10.904209280177547</v>
      </c>
      <c r="AC152" s="15">
        <v>86.833605383866868</v>
      </c>
      <c r="AD152" s="15">
        <v>8.4878306136869757</v>
      </c>
      <c r="AE152" s="15">
        <v>64.245444137477079</v>
      </c>
      <c r="AF152" s="15">
        <v>86.96670819819019</v>
      </c>
      <c r="AG152" s="15">
        <v>16.682239891359107</v>
      </c>
      <c r="AH152" s="15">
        <v>44.520417487831885</v>
      </c>
      <c r="AI152" s="15">
        <v>42.725621524787591</v>
      </c>
      <c r="AJ152" s="15">
        <v>7.8831084104001743</v>
      </c>
      <c r="AK152" s="15">
        <v>89.802570204524585</v>
      </c>
      <c r="AL152" s="15">
        <v>88.107927665353003</v>
      </c>
      <c r="AM152" s="15">
        <v>34.347269889969056</v>
      </c>
      <c r="AN152" s="15">
        <v>28.683808079567619</v>
      </c>
      <c r="AO152" s="15">
        <v>99.981601781712044</v>
      </c>
      <c r="AP152" s="15">
        <v>34.186303576544276</v>
      </c>
      <c r="AQ152" s="15">
        <v>32.868637768410814</v>
      </c>
      <c r="AR152" s="15">
        <v>41.72897411861566</v>
      </c>
      <c r="AS152" s="15">
        <v>4.9914096723233881</v>
      </c>
      <c r="AT152" s="15">
        <v>39.096342091381075</v>
      </c>
      <c r="AU152" s="15">
        <v>45.565689617526139</v>
      </c>
      <c r="AV152" s="15">
        <v>79.934615048269492</v>
      </c>
      <c r="AW152" s="15">
        <v>55.876460068484967</v>
      </c>
      <c r="AX152" s="15">
        <v>78.266837559531353</v>
      </c>
      <c r="AY152" s="15">
        <v>5.4385618430957123</v>
      </c>
      <c r="AZ152" s="15">
        <v>63.048190301560005</v>
      </c>
      <c r="BA152" s="15">
        <v>31.501353493499206</v>
      </c>
      <c r="BB152" s="15">
        <v>80.394896488587705</v>
      </c>
      <c r="BC152" s="15">
        <v>30.565998187940412</v>
      </c>
      <c r="BD152" s="15">
        <v>9.3476614395982534</v>
      </c>
    </row>
    <row r="153" spans="1:56" x14ac:dyDescent="0.3">
      <c r="A153" s="18">
        <v>2016</v>
      </c>
      <c r="B153" s="6" t="s">
        <v>98</v>
      </c>
      <c r="C153" s="6" t="str">
        <f t="shared" si="8"/>
        <v>WA</v>
      </c>
      <c r="D153" s="6" t="str">
        <f t="shared" si="9"/>
        <v>华盛顿</v>
      </c>
      <c r="E153" s="14">
        <v>58.248614765378015</v>
      </c>
      <c r="F153" s="14">
        <v>10.179792465772541</v>
      </c>
      <c r="G153" s="14">
        <v>34.643417525428163</v>
      </c>
      <c r="H153" s="14">
        <v>69.512284854052027</v>
      </c>
      <c r="I153" s="14">
        <v>68.300118469293864</v>
      </c>
      <c r="J153" s="14">
        <v>73.282032779124108</v>
      </c>
      <c r="K153" s="14">
        <v>18.637511365533378</v>
      </c>
      <c r="L153" s="14">
        <v>62.121584744241652</v>
      </c>
      <c r="M153" s="14">
        <v>11.996368064393936</v>
      </c>
      <c r="N153" s="14">
        <v>55.679820750236765</v>
      </c>
      <c r="O153" s="14">
        <v>92.359886117527452</v>
      </c>
      <c r="P153" s="14">
        <v>16.891905837319054</v>
      </c>
      <c r="Q153" s="14">
        <v>31.205603148550288</v>
      </c>
      <c r="R153" s="14">
        <v>93.061609692239344</v>
      </c>
      <c r="S153" s="14">
        <v>14.629355428470149</v>
      </c>
      <c r="T153" s="14">
        <v>66.452562708907379</v>
      </c>
      <c r="U153" s="14">
        <v>10.532014294208913</v>
      </c>
      <c r="V153" s="14">
        <v>85.240408526141337</v>
      </c>
      <c r="W153" s="14">
        <v>45.98136238854341</v>
      </c>
      <c r="X153" s="14">
        <v>68.576094895751964</v>
      </c>
      <c r="Y153" s="14">
        <v>81.398861062952506</v>
      </c>
      <c r="Z153" s="14">
        <v>46.544153284671395</v>
      </c>
      <c r="AA153" s="14">
        <v>40.084987867178278</v>
      </c>
      <c r="AB153" s="14">
        <v>73.374229067239071</v>
      </c>
      <c r="AC153" s="14">
        <v>63.513218284849351</v>
      </c>
      <c r="AD153" s="14">
        <v>31.554521109230816</v>
      </c>
      <c r="AE153" s="14">
        <v>7.7902305067687809</v>
      </c>
      <c r="AF153" s="14">
        <v>79.951319443131709</v>
      </c>
      <c r="AG153" s="14">
        <v>51.817178712477755</v>
      </c>
      <c r="AH153" s="14">
        <v>76.381714861306364</v>
      </c>
      <c r="AI153" s="14">
        <v>4.2344404643065214</v>
      </c>
      <c r="AJ153" s="14">
        <v>55.198829175567873</v>
      </c>
      <c r="AK153" s="14">
        <v>2.9488751286798731</v>
      </c>
      <c r="AL153" s="14">
        <v>42.529546895595026</v>
      </c>
      <c r="AM153" s="14">
        <v>24.956633271546881</v>
      </c>
      <c r="AN153" s="14">
        <v>9.5597356845984685</v>
      </c>
      <c r="AO153" s="14">
        <v>53.406270145272359</v>
      </c>
      <c r="AP153" s="14">
        <v>25.956720626338893</v>
      </c>
      <c r="AQ153" s="14">
        <v>10.313623053231469</v>
      </c>
      <c r="AR153" s="14">
        <v>5.0408778802487619</v>
      </c>
      <c r="AS153" s="14">
        <v>28.135301097464136</v>
      </c>
      <c r="AT153" s="14">
        <v>81.017155210401555</v>
      </c>
      <c r="AU153" s="14">
        <v>90.63221158623152</v>
      </c>
      <c r="AV153" s="14">
        <v>70.435098564785889</v>
      </c>
      <c r="AW153" s="14">
        <v>56.085795277477146</v>
      </c>
      <c r="AX153" s="14">
        <v>26.722410522803099</v>
      </c>
      <c r="AY153" s="14">
        <v>3.9379391661585217</v>
      </c>
      <c r="AZ153" s="14">
        <v>49.289247455386707</v>
      </c>
      <c r="BA153" s="14">
        <v>26.911016574625023</v>
      </c>
      <c r="BB153" s="14">
        <v>18.362592169947355</v>
      </c>
      <c r="BC153" s="14">
        <v>45.685910524347825</v>
      </c>
      <c r="BD153" s="14">
        <v>47.510938951990454</v>
      </c>
    </row>
    <row r="154" spans="1:56" x14ac:dyDescent="0.3">
      <c r="A154" s="19">
        <v>2016</v>
      </c>
      <c r="B154" s="8" t="s">
        <v>100</v>
      </c>
      <c r="C154" s="8" t="str">
        <f t="shared" si="8"/>
        <v>WV</v>
      </c>
      <c r="D154" s="8" t="str">
        <f t="shared" si="9"/>
        <v>西维吉尼亚州</v>
      </c>
      <c r="E154" s="15">
        <v>31.741377119818914</v>
      </c>
      <c r="F154" s="15">
        <v>68.72994291483792</v>
      </c>
      <c r="G154" s="15">
        <v>70.028531473357873</v>
      </c>
      <c r="H154" s="15">
        <v>57.687026953464397</v>
      </c>
      <c r="I154" s="15">
        <v>91.432367567050861</v>
      </c>
      <c r="J154" s="15">
        <v>68.567280104025556</v>
      </c>
      <c r="K154" s="15">
        <v>51.65115204910996</v>
      </c>
      <c r="L154" s="15">
        <v>63.900949431532204</v>
      </c>
      <c r="M154" s="15">
        <v>19.663922666447998</v>
      </c>
      <c r="N154" s="15">
        <v>36.69229731804807</v>
      </c>
      <c r="O154" s="15">
        <v>19.384427423385031</v>
      </c>
      <c r="P154" s="15">
        <v>88.865821538410756</v>
      </c>
      <c r="Q154" s="15">
        <v>2.6383348105943005</v>
      </c>
      <c r="R154" s="15">
        <v>11.482975034702092</v>
      </c>
      <c r="S154" s="15">
        <v>19.913863658533661</v>
      </c>
      <c r="T154" s="15">
        <v>44.402674243442263</v>
      </c>
      <c r="U154" s="15">
        <v>86.645078799291312</v>
      </c>
      <c r="V154" s="15">
        <v>19.312150186200373</v>
      </c>
      <c r="W154" s="15">
        <v>7.2254505170004979</v>
      </c>
      <c r="X154" s="15">
        <v>85.791769546015644</v>
      </c>
      <c r="Y154" s="15">
        <v>9.896734988673451</v>
      </c>
      <c r="Z154" s="15">
        <v>3.6537475830207611</v>
      </c>
      <c r="AA154" s="15">
        <v>78.174014606591598</v>
      </c>
      <c r="AB154" s="15">
        <v>94.178923017169311</v>
      </c>
      <c r="AC154" s="15">
        <v>26.866695695871801</v>
      </c>
      <c r="AD154" s="15">
        <v>55.748042190937007</v>
      </c>
      <c r="AE154" s="15">
        <v>84.602158002722831</v>
      </c>
      <c r="AF154" s="15">
        <v>84.362193834132555</v>
      </c>
      <c r="AG154" s="15">
        <v>72.26762412973676</v>
      </c>
      <c r="AH154" s="15">
        <v>95.402669980265387</v>
      </c>
      <c r="AI154" s="15">
        <v>79.390084559013559</v>
      </c>
      <c r="AJ154" s="15">
        <v>4.6600707123484515</v>
      </c>
      <c r="AK154" s="15">
        <v>10.312980182691811</v>
      </c>
      <c r="AL154" s="15">
        <v>80.965505888026499</v>
      </c>
      <c r="AM154" s="15">
        <v>65.218761995152221</v>
      </c>
      <c r="AN154" s="15">
        <v>42.306627156507979</v>
      </c>
      <c r="AO154" s="15">
        <v>10.078761473248033</v>
      </c>
      <c r="AP154" s="15">
        <v>90.301355449178047</v>
      </c>
      <c r="AQ154" s="15">
        <v>14.117811055836649</v>
      </c>
      <c r="AR154" s="15">
        <v>58.854794977905101</v>
      </c>
      <c r="AS154" s="15">
        <v>56.836022578053893</v>
      </c>
      <c r="AT154" s="15">
        <v>48.241547203463085</v>
      </c>
      <c r="AU154" s="15">
        <v>27.083859669516276</v>
      </c>
      <c r="AV154" s="15">
        <v>66.731873806852462</v>
      </c>
      <c r="AW154" s="15">
        <v>43.387882270482891</v>
      </c>
      <c r="AX154" s="15">
        <v>51.668100236745687</v>
      </c>
      <c r="AY154" s="15">
        <v>54.563080542025929</v>
      </c>
      <c r="AZ154" s="15">
        <v>9.6527385060353303</v>
      </c>
      <c r="BA154" s="15">
        <v>42.444451554691867</v>
      </c>
      <c r="BB154" s="15">
        <v>4.7536587150192489</v>
      </c>
      <c r="BC154" s="15">
        <v>30.444252574836661</v>
      </c>
      <c r="BD154" s="15">
        <v>82.333821124248757</v>
      </c>
    </row>
    <row r="155" spans="1:56" x14ac:dyDescent="0.3">
      <c r="A155" s="18">
        <v>2016</v>
      </c>
      <c r="B155" s="6" t="s">
        <v>102</v>
      </c>
      <c r="C155" s="6" t="str">
        <f t="shared" si="8"/>
        <v>WI</v>
      </c>
      <c r="D155" s="6" t="str">
        <f t="shared" si="9"/>
        <v>威斯康辛州</v>
      </c>
      <c r="E155" s="14">
        <v>84.936238575301843</v>
      </c>
      <c r="F155" s="14">
        <v>6.5972725727468813</v>
      </c>
      <c r="G155" s="14">
        <v>89.740071479395255</v>
      </c>
      <c r="H155" s="14">
        <v>53.073155323829738</v>
      </c>
      <c r="I155" s="14">
        <v>10.886854310506333</v>
      </c>
      <c r="J155" s="14">
        <v>10.204524742760224</v>
      </c>
      <c r="K155" s="14">
        <v>36.736029466561689</v>
      </c>
      <c r="L155" s="14">
        <v>67.84336603463673</v>
      </c>
      <c r="M155" s="14">
        <v>56.72477498327013</v>
      </c>
      <c r="N155" s="14">
        <v>27.077560468129125</v>
      </c>
      <c r="O155" s="14">
        <v>69.63602313246966</v>
      </c>
      <c r="P155" s="14">
        <v>24.664782791533767</v>
      </c>
      <c r="Q155" s="14">
        <v>2.4473163253610597</v>
      </c>
      <c r="R155" s="14">
        <v>46.730245607156697</v>
      </c>
      <c r="S155" s="14">
        <v>47.285243313050948</v>
      </c>
      <c r="T155" s="14">
        <v>65.484424700899382</v>
      </c>
      <c r="U155" s="14">
        <v>65.53397913269427</v>
      </c>
      <c r="V155" s="14">
        <v>77.725418271280716</v>
      </c>
      <c r="W155" s="14">
        <v>51.529948832548364</v>
      </c>
      <c r="X155" s="14">
        <v>35.38525970566981</v>
      </c>
      <c r="Y155" s="14">
        <v>66.570543835744573</v>
      </c>
      <c r="Z155" s="14">
        <v>4.1048995564111674</v>
      </c>
      <c r="AA155" s="14">
        <v>74.845150704794037</v>
      </c>
      <c r="AB155" s="14">
        <v>97.848005238463713</v>
      </c>
      <c r="AC155" s="14">
        <v>56.837367670351334</v>
      </c>
      <c r="AD155" s="14">
        <v>73.889951534183439</v>
      </c>
      <c r="AE155" s="14">
        <v>38.384437931410041</v>
      </c>
      <c r="AF155" s="14">
        <v>32.176546515803771</v>
      </c>
      <c r="AG155" s="14">
        <v>97.91458335280619</v>
      </c>
      <c r="AH155" s="14">
        <v>91.560093610954624</v>
      </c>
      <c r="AI155" s="14">
        <v>99.235568408354396</v>
      </c>
      <c r="AJ155" s="14">
        <v>38.010546197774723</v>
      </c>
      <c r="AK155" s="14">
        <v>52.945726798227454</v>
      </c>
      <c r="AL155" s="14">
        <v>53.177060688702127</v>
      </c>
      <c r="AM155" s="14">
        <v>57.05209929450956</v>
      </c>
      <c r="AN155" s="14">
        <v>29.130798988764894</v>
      </c>
      <c r="AO155" s="14">
        <v>58.405265189081376</v>
      </c>
      <c r="AP155" s="14">
        <v>64.004210626982513</v>
      </c>
      <c r="AQ155" s="14">
        <v>42.048788005534966</v>
      </c>
      <c r="AR155" s="14">
        <v>39.271494782905478</v>
      </c>
      <c r="AS155" s="14">
        <v>20.523179507708889</v>
      </c>
      <c r="AT155" s="14">
        <v>81.894037945306962</v>
      </c>
      <c r="AU155" s="14">
        <v>61.730730971655611</v>
      </c>
      <c r="AV155" s="14">
        <v>94.911551389859767</v>
      </c>
      <c r="AW155" s="14">
        <v>27.767815705419984</v>
      </c>
      <c r="AX155" s="14">
        <v>31.599626873824839</v>
      </c>
      <c r="AY155" s="14">
        <v>3.7603145662556181</v>
      </c>
      <c r="AZ155" s="14">
        <v>20.476889180642331</v>
      </c>
      <c r="BA155" s="14">
        <v>7.8916694701944845</v>
      </c>
      <c r="BB155" s="14">
        <v>99.047252991205113</v>
      </c>
      <c r="BC155" s="14">
        <v>80.137034040419792</v>
      </c>
      <c r="BD155" s="14">
        <v>77.649465161321558</v>
      </c>
    </row>
    <row r="156" spans="1:56" x14ac:dyDescent="0.3">
      <c r="A156" s="19">
        <v>2016</v>
      </c>
      <c r="B156" s="8" t="s">
        <v>104</v>
      </c>
      <c r="C156" s="8" t="str">
        <f t="shared" si="8"/>
        <v>WY</v>
      </c>
      <c r="D156" s="8" t="str">
        <f t="shared" si="9"/>
        <v>怀俄明</v>
      </c>
      <c r="E156" s="15">
        <v>81.117942265515126</v>
      </c>
      <c r="F156" s="15">
        <v>80.210010681836394</v>
      </c>
      <c r="G156" s="15">
        <v>79.404380956722946</v>
      </c>
      <c r="H156" s="15">
        <v>51.95988835579071</v>
      </c>
      <c r="I156" s="15">
        <v>92.808677310024365</v>
      </c>
      <c r="J156" s="15">
        <v>52.633537681674682</v>
      </c>
      <c r="K156" s="15">
        <v>77.862122056941075</v>
      </c>
      <c r="L156" s="15">
        <v>55.817066133058468</v>
      </c>
      <c r="M156" s="15">
        <v>64.580532424808041</v>
      </c>
      <c r="N156" s="15">
        <v>53.99632445047078</v>
      </c>
      <c r="O156" s="15">
        <v>71.524400257181881</v>
      </c>
      <c r="P156" s="15">
        <v>17.01658050443806</v>
      </c>
      <c r="Q156" s="15">
        <v>23.936914058329251</v>
      </c>
      <c r="R156" s="15">
        <v>11.769786742626431</v>
      </c>
      <c r="S156" s="15">
        <v>22.628273899198515</v>
      </c>
      <c r="T156" s="15">
        <v>67.137861702986768</v>
      </c>
      <c r="U156" s="15">
        <v>19.7589205553368</v>
      </c>
      <c r="V156" s="15">
        <v>23.11756415412567</v>
      </c>
      <c r="W156" s="15">
        <v>61.460861763113108</v>
      </c>
      <c r="X156" s="15">
        <v>84.890302786298392</v>
      </c>
      <c r="Y156" s="15">
        <v>30.78219178208208</v>
      </c>
      <c r="Z156" s="15">
        <v>67.233428918649068</v>
      </c>
      <c r="AA156" s="15">
        <v>46.694186074100344</v>
      </c>
      <c r="AB156" s="15">
        <v>79.465123449946987</v>
      </c>
      <c r="AC156" s="15">
        <v>20.637520032451661</v>
      </c>
      <c r="AD156" s="15">
        <v>64.883117943065201</v>
      </c>
      <c r="AE156" s="15">
        <v>43.665042494560488</v>
      </c>
      <c r="AF156" s="15">
        <v>78.118428896542525</v>
      </c>
      <c r="AG156" s="15">
        <v>42.471272000328199</v>
      </c>
      <c r="AH156" s="15">
        <v>94.516454574037894</v>
      </c>
      <c r="AI156" s="15">
        <v>2.183263556523718</v>
      </c>
      <c r="AJ156" s="15">
        <v>12.400580627397728</v>
      </c>
      <c r="AK156" s="15">
        <v>93.678654489212491</v>
      </c>
      <c r="AL156" s="15">
        <v>23.731849517711147</v>
      </c>
      <c r="AM156" s="15">
        <v>88.677143149330831</v>
      </c>
      <c r="AN156" s="15">
        <v>33.925071115029496</v>
      </c>
      <c r="AO156" s="15">
        <v>37.945408361949703</v>
      </c>
      <c r="AP156" s="15">
        <v>14.651123942668764</v>
      </c>
      <c r="AQ156" s="15">
        <v>1.7169982021049468</v>
      </c>
      <c r="AR156" s="15">
        <v>77.33759212236896</v>
      </c>
      <c r="AS156" s="15">
        <v>95.665061835820936</v>
      </c>
      <c r="AT156" s="15">
        <v>58.356202673836286</v>
      </c>
      <c r="AU156" s="15">
        <v>2.450380956784759</v>
      </c>
      <c r="AV156" s="15">
        <v>71.6691508698717</v>
      </c>
      <c r="AW156" s="15">
        <v>58.985247056671852</v>
      </c>
      <c r="AX156" s="15">
        <v>43.505681871852211</v>
      </c>
      <c r="AY156" s="15">
        <v>86.52508163941981</v>
      </c>
      <c r="AZ156" s="15">
        <v>96.804410304049213</v>
      </c>
      <c r="BA156" s="15">
        <v>53.615430000558547</v>
      </c>
      <c r="BB156" s="15">
        <v>72.41719767902822</v>
      </c>
      <c r="BC156" s="15">
        <v>47.182061836863035</v>
      </c>
      <c r="BD156" s="15">
        <v>69.977003521487191</v>
      </c>
    </row>
    <row r="157" spans="1:56" ht="15" thickBot="1" x14ac:dyDescent="0.35">
      <c r="A157" s="20">
        <v>2016</v>
      </c>
      <c r="B157" s="12" t="s">
        <v>80</v>
      </c>
      <c r="C157" s="12" t="str">
        <f t="shared" si="8"/>
        <v>PR</v>
      </c>
      <c r="D157" s="12" t="str">
        <f t="shared" si="9"/>
        <v>波多黎各</v>
      </c>
      <c r="E157" s="16">
        <v>97.017462492716035</v>
      </c>
      <c r="F157" s="16">
        <v>3.9926132951238369</v>
      </c>
      <c r="G157" s="16">
        <v>46.500683231127127</v>
      </c>
      <c r="H157" s="16">
        <v>39.198987120241178</v>
      </c>
      <c r="I157" s="16">
        <v>88.654177856850751</v>
      </c>
      <c r="J157" s="16">
        <v>52.089712233893913</v>
      </c>
      <c r="K157" s="16">
        <v>61.391768737806707</v>
      </c>
      <c r="L157" s="16">
        <v>93.450269464213818</v>
      </c>
      <c r="M157" s="16">
        <v>42.642922789203993</v>
      </c>
      <c r="N157" s="16">
        <v>12.337680153889908</v>
      </c>
      <c r="O157" s="16">
        <v>51.201631159232939</v>
      </c>
      <c r="P157" s="16">
        <v>22.984460542080352</v>
      </c>
      <c r="Q157" s="16">
        <v>91.601099576860918</v>
      </c>
      <c r="R157" s="16">
        <v>29.520750385563076</v>
      </c>
      <c r="S157" s="16">
        <v>90.79483276781329</v>
      </c>
      <c r="T157" s="16">
        <v>28.160871951025491</v>
      </c>
      <c r="U157" s="16">
        <v>21.257336167923711</v>
      </c>
      <c r="V157" s="16">
        <v>39.573727730761796</v>
      </c>
      <c r="W157" s="16">
        <v>59.100351171631672</v>
      </c>
      <c r="X157" s="16">
        <v>52.523339847724579</v>
      </c>
      <c r="Y157" s="16">
        <v>81.10554598110825</v>
      </c>
      <c r="Z157" s="16">
        <v>64.500662291457701</v>
      </c>
      <c r="AA157" s="16">
        <v>40.546787187720412</v>
      </c>
      <c r="AB157" s="16">
        <v>75.507756622010675</v>
      </c>
      <c r="AC157" s="16">
        <v>79.211794030558096</v>
      </c>
      <c r="AD157" s="16">
        <v>48.557776218149066</v>
      </c>
      <c r="AE157" s="16">
        <v>52.500168983182618</v>
      </c>
      <c r="AF157" s="16">
        <v>27.010143442702372</v>
      </c>
      <c r="AG157" s="16">
        <v>59.350037241976473</v>
      </c>
      <c r="AH157" s="16">
        <v>43.169491092842684</v>
      </c>
      <c r="AI157" s="16">
        <v>34.479381517603557</v>
      </c>
      <c r="AJ157" s="16">
        <v>17.15109671462659</v>
      </c>
      <c r="AK157" s="16">
        <v>69.947580182975472</v>
      </c>
      <c r="AL157" s="16">
        <v>30.628016836265694</v>
      </c>
      <c r="AM157" s="16">
        <v>4.1650015581635502</v>
      </c>
      <c r="AN157" s="16">
        <v>67.671528616491599</v>
      </c>
      <c r="AO157" s="16">
        <v>33.328841218089501</v>
      </c>
      <c r="AP157" s="16">
        <v>20.289415259893229</v>
      </c>
      <c r="AQ157" s="16">
        <v>32.323429801696399</v>
      </c>
      <c r="AR157" s="16">
        <v>86.476235428940825</v>
      </c>
      <c r="AS157" s="16">
        <v>88.6634141429777</v>
      </c>
      <c r="AT157" s="16">
        <v>3.2505513380838624</v>
      </c>
      <c r="AU157" s="16">
        <v>10.032550772531025</v>
      </c>
      <c r="AV157" s="16">
        <v>96.658186453295855</v>
      </c>
      <c r="AW157" s="16">
        <v>93.658412931030654</v>
      </c>
      <c r="AX157" s="16">
        <v>82.437603431795324</v>
      </c>
      <c r="AY157" s="16">
        <v>77.725846047406549</v>
      </c>
      <c r="AZ157" s="16">
        <v>54.014276828706983</v>
      </c>
      <c r="BA157" s="16">
        <v>75.150727166120362</v>
      </c>
      <c r="BB157" s="16">
        <v>30.073078410612521</v>
      </c>
      <c r="BC157" s="16">
        <v>24.029724447736744</v>
      </c>
      <c r="BD157" s="16">
        <v>45.149851312443332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B1:BF56"/>
  <sheetViews>
    <sheetView showGridLines="0" zoomScale="85" zoomScaleNormal="85" workbookViewId="0">
      <selection activeCell="B2" sqref="B2"/>
    </sheetView>
  </sheetViews>
  <sheetFormatPr defaultRowHeight="14.4" x14ac:dyDescent="0.3"/>
  <cols>
    <col min="1" max="1" width="1.88671875" customWidth="1"/>
    <col min="2" max="2" width="6.6640625" customWidth="1"/>
    <col min="3" max="3" width="20.6640625" customWidth="1"/>
    <col min="4" max="4" width="8.44140625" bestFit="1" customWidth="1"/>
    <col min="5" max="5" width="15.109375" customWidth="1"/>
    <col min="6" max="11" width="13" customWidth="1"/>
    <col min="12" max="12" width="14.88671875" bestFit="1" customWidth="1"/>
    <col min="13" max="13" width="13" customWidth="1"/>
    <col min="14" max="14" width="16.5546875" customWidth="1"/>
    <col min="15" max="26" width="13" customWidth="1"/>
    <col min="27" max="27" width="15.44140625" customWidth="1"/>
    <col min="28" max="28" width="13" customWidth="1"/>
    <col min="29" max="29" width="13.6640625" bestFit="1" customWidth="1"/>
    <col min="30" max="30" width="14" bestFit="1" customWidth="1"/>
    <col min="31" max="34" width="13" customWidth="1"/>
    <col min="35" max="35" width="18.88671875" bestFit="1" customWidth="1"/>
    <col min="36" max="36" width="14.33203125" bestFit="1" customWidth="1"/>
    <col min="37" max="37" width="15.44140625" bestFit="1" customWidth="1"/>
    <col min="38" max="38" width="13" customWidth="1"/>
    <col min="39" max="39" width="17.44140625" bestFit="1" customWidth="1"/>
    <col min="40" max="40" width="16.109375" bestFit="1" customWidth="1"/>
    <col min="41" max="41" width="13" customWidth="1"/>
    <col min="42" max="42" width="13" bestFit="1" customWidth="1"/>
    <col min="43" max="43" width="13" customWidth="1"/>
    <col min="44" max="44" width="16.109375" bestFit="1" customWidth="1"/>
    <col min="45" max="45" width="15.88671875" bestFit="1" customWidth="1"/>
    <col min="46" max="46" width="17.44140625" bestFit="1" customWidth="1"/>
    <col min="47" max="47" width="16.109375" bestFit="1" customWidth="1"/>
    <col min="48" max="48" width="13.6640625" bestFit="1" customWidth="1"/>
    <col min="49" max="52" width="13" customWidth="1"/>
    <col min="53" max="53" width="14.44140625" customWidth="1"/>
    <col min="54" max="54" width="14.5546875" customWidth="1"/>
    <col min="55" max="55" width="13.33203125" bestFit="1" customWidth="1"/>
    <col min="56" max="56" width="13" customWidth="1"/>
    <col min="57" max="57" width="14.33203125" bestFit="1" customWidth="1"/>
  </cols>
  <sheetData>
    <row r="1" spans="2:58" ht="16.2" thickBot="1" x14ac:dyDescent="0.35">
      <c r="B1" s="23" t="s">
        <v>114</v>
      </c>
      <c r="D1" t="s">
        <v>199</v>
      </c>
      <c r="BF1" s="25">
        <v>2014</v>
      </c>
    </row>
    <row r="2" spans="2:58" x14ac:dyDescent="0.3">
      <c r="B2" s="3">
        <f>dash!K12</f>
        <v>2014</v>
      </c>
      <c r="BF2" s="25">
        <v>2015</v>
      </c>
    </row>
    <row r="3" spans="2:58" x14ac:dyDescent="0.3">
      <c r="BF3" s="25">
        <v>2016</v>
      </c>
    </row>
    <row r="4" spans="2:58" ht="16.2" thickBot="1" x14ac:dyDescent="0.35">
      <c r="B4" s="23" t="s">
        <v>112</v>
      </c>
      <c r="C4" s="24" t="s">
        <v>109</v>
      </c>
      <c r="D4" s="24" t="s">
        <v>113</v>
      </c>
      <c r="E4" s="24" t="s">
        <v>106</v>
      </c>
      <c r="F4" s="26" t="s">
        <v>2</v>
      </c>
      <c r="G4" s="26" t="s">
        <v>4</v>
      </c>
      <c r="H4" s="26" t="s">
        <v>6</v>
      </c>
      <c r="I4" s="26" t="s">
        <v>8</v>
      </c>
      <c r="J4" s="26" t="s">
        <v>10</v>
      </c>
      <c r="K4" s="26" t="s">
        <v>12</v>
      </c>
      <c r="L4" s="26" t="s">
        <v>14</v>
      </c>
      <c r="M4" s="26" t="s">
        <v>16</v>
      </c>
      <c r="N4" s="26" t="s">
        <v>18</v>
      </c>
      <c r="O4" s="26" t="s">
        <v>20</v>
      </c>
      <c r="P4" s="26" t="s">
        <v>22</v>
      </c>
      <c r="Q4" s="26" t="s">
        <v>24</v>
      </c>
      <c r="R4" s="26" t="s">
        <v>26</v>
      </c>
      <c r="S4" s="26" t="s">
        <v>28</v>
      </c>
      <c r="T4" s="26" t="s">
        <v>30</v>
      </c>
      <c r="U4" s="26" t="s">
        <v>32</v>
      </c>
      <c r="V4" s="26" t="s">
        <v>34</v>
      </c>
      <c r="W4" s="26" t="s">
        <v>36</v>
      </c>
      <c r="X4" s="26" t="s">
        <v>38</v>
      </c>
      <c r="Y4" s="26" t="s">
        <v>40</v>
      </c>
      <c r="Z4" s="26" t="s">
        <v>42</v>
      </c>
      <c r="AA4" s="26" t="s">
        <v>44</v>
      </c>
      <c r="AB4" s="26" t="s">
        <v>46</v>
      </c>
      <c r="AC4" s="26" t="s">
        <v>48</v>
      </c>
      <c r="AD4" s="26" t="s">
        <v>50</v>
      </c>
      <c r="AE4" s="26" t="s">
        <v>52</v>
      </c>
      <c r="AF4" s="26" t="s">
        <v>54</v>
      </c>
      <c r="AG4" s="26" t="s">
        <v>56</v>
      </c>
      <c r="AH4" s="26" t="s">
        <v>58</v>
      </c>
      <c r="AI4" s="26" t="s">
        <v>60</v>
      </c>
      <c r="AJ4" s="26" t="s">
        <v>62</v>
      </c>
      <c r="AK4" s="26" t="s">
        <v>64</v>
      </c>
      <c r="AL4" s="26" t="s">
        <v>66</v>
      </c>
      <c r="AM4" s="26" t="s">
        <v>68</v>
      </c>
      <c r="AN4" s="26" t="s">
        <v>70</v>
      </c>
      <c r="AO4" s="26" t="s">
        <v>72</v>
      </c>
      <c r="AP4" s="26" t="s">
        <v>74</v>
      </c>
      <c r="AQ4" s="26" t="s">
        <v>76</v>
      </c>
      <c r="AR4" s="26" t="s">
        <v>78</v>
      </c>
      <c r="AS4" s="26" t="s">
        <v>82</v>
      </c>
      <c r="AT4" s="26" t="s">
        <v>84</v>
      </c>
      <c r="AU4" s="26" t="s">
        <v>86</v>
      </c>
      <c r="AV4" s="26" t="s">
        <v>88</v>
      </c>
      <c r="AW4" s="26" t="s">
        <v>90</v>
      </c>
      <c r="AX4" s="26" t="s">
        <v>92</v>
      </c>
      <c r="AY4" s="26" t="s">
        <v>94</v>
      </c>
      <c r="AZ4" s="26" t="s">
        <v>96</v>
      </c>
      <c r="BA4" s="26" t="s">
        <v>98</v>
      </c>
      <c r="BB4" s="26" t="s">
        <v>100</v>
      </c>
      <c r="BC4" s="26" t="s">
        <v>102</v>
      </c>
      <c r="BD4" s="26" t="s">
        <v>104</v>
      </c>
      <c r="BE4" s="26" t="s">
        <v>80</v>
      </c>
    </row>
    <row r="5" spans="2:58" x14ac:dyDescent="0.3">
      <c r="B5" s="3">
        <v>2015</v>
      </c>
      <c r="C5" s="4" t="s">
        <v>2</v>
      </c>
      <c r="D5" s="4" t="s">
        <v>3</v>
      </c>
      <c r="E5" s="4" t="s">
        <v>115</v>
      </c>
      <c r="F5" s="9">
        <v>13.215920086005895</v>
      </c>
      <c r="G5" s="9">
        <v>26.440035161227339</v>
      </c>
      <c r="H5" s="9">
        <v>90.041876349880752</v>
      </c>
      <c r="I5" s="9">
        <v>66.534576500103199</v>
      </c>
      <c r="J5" s="9">
        <v>46.582625872626259</v>
      </c>
      <c r="K5" s="9">
        <v>41.892549080467091</v>
      </c>
      <c r="L5" s="9">
        <v>29.462239456276873</v>
      </c>
      <c r="M5" s="9">
        <v>53.458580298530237</v>
      </c>
      <c r="N5" s="9">
        <v>41.371257049039031</v>
      </c>
      <c r="O5" s="9">
        <v>60.212096306098516</v>
      </c>
      <c r="P5" s="9">
        <v>81.788071230255127</v>
      </c>
      <c r="Q5" s="9">
        <v>98.148756763644585</v>
      </c>
      <c r="R5" s="9">
        <v>50.542520711813502</v>
      </c>
      <c r="S5" s="9">
        <v>4.3084390268233186E-2</v>
      </c>
      <c r="T5" s="9">
        <v>87.644300964894128</v>
      </c>
      <c r="U5" s="9">
        <v>8.5604689174250908</v>
      </c>
      <c r="V5" s="9">
        <v>57.854416542984175</v>
      </c>
      <c r="W5" s="9">
        <v>24.640571296458667</v>
      </c>
      <c r="X5" s="9">
        <v>17.150029029864587</v>
      </c>
      <c r="Y5" s="9">
        <v>43.648300991006039</v>
      </c>
      <c r="Z5" s="9">
        <v>36.307329625967888</v>
      </c>
      <c r="AA5" s="9">
        <v>17.244965401248603</v>
      </c>
      <c r="AB5" s="9">
        <v>32.241548115915421</v>
      </c>
      <c r="AC5" s="9">
        <v>57.743941972179449</v>
      </c>
      <c r="AD5" s="9">
        <v>88.266237161930675</v>
      </c>
      <c r="AE5" s="9">
        <v>44.186868442774838</v>
      </c>
      <c r="AF5" s="9">
        <v>82.089881705395371</v>
      </c>
      <c r="AG5" s="9">
        <v>93.391703788997617</v>
      </c>
      <c r="AH5" s="9">
        <v>74.131899891766579</v>
      </c>
      <c r="AI5" s="9">
        <v>7.4788123305082994</v>
      </c>
      <c r="AJ5" s="9">
        <v>57.088323158912466</v>
      </c>
      <c r="AK5" s="9">
        <v>41.407753885240048</v>
      </c>
      <c r="AL5" s="9">
        <v>30.759830273617585</v>
      </c>
      <c r="AM5" s="9">
        <v>68.969012123672911</v>
      </c>
      <c r="AN5" s="9">
        <v>30.309720976713052</v>
      </c>
      <c r="AO5" s="9">
        <v>40.978694957770088</v>
      </c>
      <c r="AP5" s="9">
        <v>5.6124450560530725</v>
      </c>
      <c r="AQ5" s="9">
        <v>36.846693980850787</v>
      </c>
      <c r="AR5" s="9">
        <v>52.44187217292432</v>
      </c>
      <c r="AS5" s="9">
        <v>25.006857446270903</v>
      </c>
      <c r="AT5" s="9">
        <v>66.296966092914573</v>
      </c>
      <c r="AU5" s="9">
        <v>10.612111305349647</v>
      </c>
      <c r="AV5" s="9">
        <v>38.632270045970294</v>
      </c>
      <c r="AW5" s="9">
        <v>95.416946314392547</v>
      </c>
      <c r="AX5" s="9">
        <v>28.112279588785572</v>
      </c>
      <c r="AY5" s="9">
        <v>96.176425158257246</v>
      </c>
      <c r="AZ5" s="9">
        <v>63.232951586641541</v>
      </c>
      <c r="BA5" s="9">
        <v>37.727900856648944</v>
      </c>
      <c r="BB5" s="9">
        <v>72.463781469793716</v>
      </c>
      <c r="BC5" s="9">
        <v>6.5976366510276048</v>
      </c>
      <c r="BD5" s="9">
        <v>61.378311797376092</v>
      </c>
      <c r="BE5" s="9">
        <v>23.76727281663069</v>
      </c>
    </row>
    <row r="6" spans="2:58" x14ac:dyDescent="0.3">
      <c r="B6" s="5">
        <v>2015</v>
      </c>
      <c r="C6" s="6" t="s">
        <v>4</v>
      </c>
      <c r="D6" s="6" t="s">
        <v>5</v>
      </c>
      <c r="E6" s="6" t="s">
        <v>116</v>
      </c>
      <c r="F6" s="10">
        <v>80.934810190770051</v>
      </c>
      <c r="G6" s="10">
        <v>81.065680131760772</v>
      </c>
      <c r="H6" s="10">
        <v>92.647845173814176</v>
      </c>
      <c r="I6" s="10">
        <v>44.759901022215566</v>
      </c>
      <c r="J6" s="10">
        <v>18.278213159739853</v>
      </c>
      <c r="K6" s="10">
        <v>51.841136340591888</v>
      </c>
      <c r="L6" s="10">
        <v>74.08797379619358</v>
      </c>
      <c r="M6" s="10">
        <v>36.582736583967026</v>
      </c>
      <c r="N6" s="10">
        <v>26.253958113212139</v>
      </c>
      <c r="O6" s="10">
        <v>4.1681301999772824</v>
      </c>
      <c r="P6" s="10">
        <v>70.234912829278059</v>
      </c>
      <c r="Q6" s="10">
        <v>39.227482281718665</v>
      </c>
      <c r="R6" s="10">
        <v>19.11578597991873</v>
      </c>
      <c r="S6" s="10">
        <v>55.387029167388761</v>
      </c>
      <c r="T6" s="10">
        <v>24.556402849957028</v>
      </c>
      <c r="U6" s="10">
        <v>51.170676375638067</v>
      </c>
      <c r="V6" s="10">
        <v>43.613911951185628</v>
      </c>
      <c r="W6" s="10">
        <v>53.736981668542548</v>
      </c>
      <c r="X6" s="10">
        <v>82.923048167382447</v>
      </c>
      <c r="Y6" s="10">
        <v>68.380579754123588</v>
      </c>
      <c r="Z6" s="10">
        <v>35.777806050290309</v>
      </c>
      <c r="AA6" s="10">
        <v>35.631063775660444</v>
      </c>
      <c r="AB6" s="10">
        <v>24.166553414952809</v>
      </c>
      <c r="AC6" s="10">
        <v>68.523503869423038</v>
      </c>
      <c r="AD6" s="10">
        <v>47.324000770994111</v>
      </c>
      <c r="AE6" s="10">
        <v>40.147285417888391</v>
      </c>
      <c r="AF6" s="10">
        <v>18.974931614514524</v>
      </c>
      <c r="AG6" s="10">
        <v>14.266391334513884</v>
      </c>
      <c r="AH6" s="10">
        <v>3.3398103585208005</v>
      </c>
      <c r="AI6" s="10">
        <v>99.070378177167512</v>
      </c>
      <c r="AJ6" s="10">
        <v>67.302938878878393</v>
      </c>
      <c r="AK6" s="10">
        <v>12.479838255567611</v>
      </c>
      <c r="AL6" s="10">
        <v>6.1904242411934041</v>
      </c>
      <c r="AM6" s="10">
        <v>11.06178076310057</v>
      </c>
      <c r="AN6" s="10">
        <v>13.1175925592251</v>
      </c>
      <c r="AO6" s="10">
        <v>87.933692247622702</v>
      </c>
      <c r="AP6" s="10">
        <v>44.516929537514969</v>
      </c>
      <c r="AQ6" s="10">
        <v>79.62248954570353</v>
      </c>
      <c r="AR6" s="10">
        <v>76.077580923219287</v>
      </c>
      <c r="AS6" s="10">
        <v>63.548557780129158</v>
      </c>
      <c r="AT6" s="10">
        <v>31.642614737472485</v>
      </c>
      <c r="AU6" s="10">
        <v>85.615321157471669</v>
      </c>
      <c r="AV6" s="10">
        <v>63.509037482433705</v>
      </c>
      <c r="AW6" s="10">
        <v>33.169253866875849</v>
      </c>
      <c r="AX6" s="10">
        <v>72.914558150218397</v>
      </c>
      <c r="AY6" s="10">
        <v>23.464182654979371</v>
      </c>
      <c r="AZ6" s="10">
        <v>15.90676973552948</v>
      </c>
      <c r="BA6" s="10">
        <v>18.157753637457052</v>
      </c>
      <c r="BB6" s="10">
        <v>9.913843284382839</v>
      </c>
      <c r="BC6" s="10">
        <v>81.931472555633519</v>
      </c>
      <c r="BD6" s="10">
        <v>15.973915846903486</v>
      </c>
      <c r="BE6" s="10">
        <v>16.521526040495459</v>
      </c>
    </row>
    <row r="7" spans="2:58" x14ac:dyDescent="0.3">
      <c r="B7" s="7">
        <v>2015</v>
      </c>
      <c r="C7" s="8" t="s">
        <v>6</v>
      </c>
      <c r="D7" s="8" t="s">
        <v>7</v>
      </c>
      <c r="E7" s="8" t="s">
        <v>117</v>
      </c>
      <c r="F7" s="11">
        <v>12.994768439704574</v>
      </c>
      <c r="G7" s="11">
        <v>94.073084310772444</v>
      </c>
      <c r="H7" s="11">
        <v>6.1528660773709003</v>
      </c>
      <c r="I7" s="11">
        <v>32.245804510504513</v>
      </c>
      <c r="J7" s="11">
        <v>37.04086189103073</v>
      </c>
      <c r="K7" s="11">
        <v>7.8440012694233392</v>
      </c>
      <c r="L7" s="11">
        <v>3.825605408502819</v>
      </c>
      <c r="M7" s="11">
        <v>59.786322778519377</v>
      </c>
      <c r="N7" s="11">
        <v>6.0637406002294174</v>
      </c>
      <c r="O7" s="11">
        <v>45.209462833962142</v>
      </c>
      <c r="P7" s="11">
        <v>17.38764756025062</v>
      </c>
      <c r="Q7" s="11">
        <v>72.900543493148547</v>
      </c>
      <c r="R7" s="11">
        <v>47.394500436945656</v>
      </c>
      <c r="S7" s="11">
        <v>15.055458749053074</v>
      </c>
      <c r="T7" s="11">
        <v>83.490535244968953</v>
      </c>
      <c r="U7" s="11">
        <v>24.264033314654721</v>
      </c>
      <c r="V7" s="11">
        <v>14.108031286965861</v>
      </c>
      <c r="W7" s="11">
        <v>13.844814264498329</v>
      </c>
      <c r="X7" s="11">
        <v>95.517838589134556</v>
      </c>
      <c r="Y7" s="11">
        <v>84.990288455448407</v>
      </c>
      <c r="Z7" s="11">
        <v>80.498059222726809</v>
      </c>
      <c r="AA7" s="11">
        <v>37.746418656553196</v>
      </c>
      <c r="AB7" s="11">
        <v>15.672485618664499</v>
      </c>
      <c r="AC7" s="11">
        <v>53.088850354570674</v>
      </c>
      <c r="AD7" s="11">
        <v>91.932266565681573</v>
      </c>
      <c r="AE7" s="11">
        <v>11.622395949309128</v>
      </c>
      <c r="AF7" s="11">
        <v>19.63269201572172</v>
      </c>
      <c r="AG7" s="11">
        <v>18.274649356265982</v>
      </c>
      <c r="AH7" s="11">
        <v>66.012058434926573</v>
      </c>
      <c r="AI7" s="11">
        <v>4.4554475307571835</v>
      </c>
      <c r="AJ7" s="11">
        <v>7.8533550511743488</v>
      </c>
      <c r="AK7" s="11">
        <v>40.935368781260252</v>
      </c>
      <c r="AL7" s="11">
        <v>3.3806799788197783</v>
      </c>
      <c r="AM7" s="11">
        <v>82.594089816115556</v>
      </c>
      <c r="AN7" s="11">
        <v>9.1568942884202364</v>
      </c>
      <c r="AO7" s="11">
        <v>84.258207670467016</v>
      </c>
      <c r="AP7" s="11">
        <v>45.160867628914083</v>
      </c>
      <c r="AQ7" s="11">
        <v>57.782172730628787</v>
      </c>
      <c r="AR7" s="11">
        <v>59.853939505966899</v>
      </c>
      <c r="AS7" s="11">
        <v>73.862713763445115</v>
      </c>
      <c r="AT7" s="11">
        <v>7.3546059468498015</v>
      </c>
      <c r="AU7" s="11">
        <v>82.299646269323063</v>
      </c>
      <c r="AV7" s="11">
        <v>12.914529795799645</v>
      </c>
      <c r="AW7" s="11">
        <v>71.490585471983991</v>
      </c>
      <c r="AX7" s="11">
        <v>37.287720720240046</v>
      </c>
      <c r="AY7" s="11">
        <v>53.135091108204456</v>
      </c>
      <c r="AZ7" s="11">
        <v>49.278771352791715</v>
      </c>
      <c r="BA7" s="11">
        <v>51.414949672920251</v>
      </c>
      <c r="BB7" s="11">
        <v>95.93565003679943</v>
      </c>
      <c r="BC7" s="11">
        <v>91.628237021485091</v>
      </c>
      <c r="BD7" s="11">
        <v>18.612496770618357</v>
      </c>
      <c r="BE7" s="11">
        <v>56.612227479396694</v>
      </c>
    </row>
    <row r="8" spans="2:58" x14ac:dyDescent="0.3">
      <c r="B8" s="5">
        <v>2015</v>
      </c>
      <c r="C8" s="6" t="s">
        <v>8</v>
      </c>
      <c r="D8" s="6" t="s">
        <v>9</v>
      </c>
      <c r="E8" s="6" t="s">
        <v>118</v>
      </c>
      <c r="F8" s="10">
        <v>82.934171796403575</v>
      </c>
      <c r="G8" s="10">
        <v>49.96484842833182</v>
      </c>
      <c r="H8" s="10">
        <v>3.9657729691267241</v>
      </c>
      <c r="I8" s="10">
        <v>57.905301132910516</v>
      </c>
      <c r="J8" s="10">
        <v>77.219822683260801</v>
      </c>
      <c r="K8" s="10">
        <v>36.909251105238951</v>
      </c>
      <c r="L8" s="10">
        <v>8.5342872596276269</v>
      </c>
      <c r="M8" s="10">
        <v>9.5506916804670166</v>
      </c>
      <c r="N8" s="10">
        <v>29.951371092920297</v>
      </c>
      <c r="O8" s="10">
        <v>55.823223237523344</v>
      </c>
      <c r="P8" s="10">
        <v>66.548930910906208</v>
      </c>
      <c r="Q8" s="10">
        <v>37.417503827406698</v>
      </c>
      <c r="R8" s="10">
        <v>45.728140346599389</v>
      </c>
      <c r="S8" s="10">
        <v>15.884874780265879</v>
      </c>
      <c r="T8" s="10">
        <v>88.590991909767894</v>
      </c>
      <c r="U8" s="10">
        <v>58.608332542761907</v>
      </c>
      <c r="V8" s="10">
        <v>82.802175661605588</v>
      </c>
      <c r="W8" s="10">
        <v>79.667092141295043</v>
      </c>
      <c r="X8" s="10">
        <v>56.51102184260165</v>
      </c>
      <c r="Y8" s="10">
        <v>61.555326488195128</v>
      </c>
      <c r="Z8" s="10">
        <v>91.406583563731942</v>
      </c>
      <c r="AA8" s="10">
        <v>61.178329598156168</v>
      </c>
      <c r="AB8" s="10">
        <v>93.87883938760649</v>
      </c>
      <c r="AC8" s="10">
        <v>94.890957626927388</v>
      </c>
      <c r="AD8" s="10">
        <v>54.05194637751741</v>
      </c>
      <c r="AE8" s="10">
        <v>82.268592276025416</v>
      </c>
      <c r="AF8" s="10">
        <v>37.862718953030949</v>
      </c>
      <c r="AG8" s="10">
        <v>91.698611677981447</v>
      </c>
      <c r="AH8" s="10">
        <v>6.371950097071255</v>
      </c>
      <c r="AI8" s="10">
        <v>95.681141665121132</v>
      </c>
      <c r="AJ8" s="10">
        <v>68.551681167512029</v>
      </c>
      <c r="AK8" s="10">
        <v>56.37332031648922</v>
      </c>
      <c r="AL8" s="10">
        <v>64.946397233935244</v>
      </c>
      <c r="AM8" s="10">
        <v>4.6958585483076964</v>
      </c>
      <c r="AN8" s="10">
        <v>58.83320440224086</v>
      </c>
      <c r="AO8" s="10">
        <v>73.086473124048354</v>
      </c>
      <c r="AP8" s="10">
        <v>78.603816594244165</v>
      </c>
      <c r="AQ8" s="10">
        <v>29.492482680832133</v>
      </c>
      <c r="AR8" s="10">
        <v>61.820631828799321</v>
      </c>
      <c r="AS8" s="10">
        <v>28.679932316346466</v>
      </c>
      <c r="AT8" s="10">
        <v>10.447931638138186</v>
      </c>
      <c r="AU8" s="10">
        <v>94.771174862145969</v>
      </c>
      <c r="AV8" s="10">
        <v>73.403564342516049</v>
      </c>
      <c r="AW8" s="10">
        <v>1.3819983108557921</v>
      </c>
      <c r="AX8" s="10">
        <v>41.688526092980069</v>
      </c>
      <c r="AY8" s="10">
        <v>59.026755294875265</v>
      </c>
      <c r="AZ8" s="10">
        <v>78.388124646486716</v>
      </c>
      <c r="BA8" s="10">
        <v>94.877574688717388</v>
      </c>
      <c r="BB8" s="10">
        <v>91.279602079027839</v>
      </c>
      <c r="BC8" s="10">
        <v>29.008790600823108</v>
      </c>
      <c r="BD8" s="10">
        <v>69.805387572801934</v>
      </c>
      <c r="BE8" s="10">
        <v>45.418531847030266</v>
      </c>
    </row>
    <row r="9" spans="2:58" x14ac:dyDescent="0.3">
      <c r="B9" s="7">
        <v>2015</v>
      </c>
      <c r="C9" s="8" t="s">
        <v>10</v>
      </c>
      <c r="D9" s="8" t="s">
        <v>11</v>
      </c>
      <c r="E9" s="8" t="s">
        <v>119</v>
      </c>
      <c r="F9" s="11">
        <v>21.400410811981384</v>
      </c>
      <c r="G9" s="11">
        <v>55.384719162095564</v>
      </c>
      <c r="H9" s="11">
        <v>23.980079977572011</v>
      </c>
      <c r="I9" s="11">
        <v>22.411860080045688</v>
      </c>
      <c r="J9" s="11">
        <v>85.503751931395072</v>
      </c>
      <c r="K9" s="11">
        <v>32.915109308953625</v>
      </c>
      <c r="L9" s="11">
        <v>70.9709440909769</v>
      </c>
      <c r="M9" s="11">
        <v>86.323383158135258</v>
      </c>
      <c r="N9" s="11">
        <v>94.438509339673487</v>
      </c>
      <c r="O9" s="11">
        <v>60.094133996071875</v>
      </c>
      <c r="P9" s="11">
        <v>37.62146731732561</v>
      </c>
      <c r="Q9" s="11">
        <v>50.682440889518624</v>
      </c>
      <c r="R9" s="11">
        <v>42.848027818042944</v>
      </c>
      <c r="S9" s="11">
        <v>28.811767929088404</v>
      </c>
      <c r="T9" s="11">
        <v>33.798482713559984</v>
      </c>
      <c r="U9" s="11">
        <v>25.103560514253353</v>
      </c>
      <c r="V9" s="11">
        <v>53.915097621987307</v>
      </c>
      <c r="W9" s="11">
        <v>64.128466610261313</v>
      </c>
      <c r="X9" s="11">
        <v>31.500212363071</v>
      </c>
      <c r="Y9" s="11">
        <v>7.2432933219847566</v>
      </c>
      <c r="Z9" s="11">
        <v>20.202539559568788</v>
      </c>
      <c r="AA9" s="11">
        <v>78.19035239325629</v>
      </c>
      <c r="AB9" s="11">
        <v>61.435740359026411</v>
      </c>
      <c r="AC9" s="11">
        <v>11.64976370858014</v>
      </c>
      <c r="AD9" s="11">
        <v>96.801398158869247</v>
      </c>
      <c r="AE9" s="11">
        <v>22.895432385982616</v>
      </c>
      <c r="AF9" s="11">
        <v>66.43861190768699</v>
      </c>
      <c r="AG9" s="11">
        <v>83.966844966960181</v>
      </c>
      <c r="AH9" s="11">
        <v>68.400127804329543</v>
      </c>
      <c r="AI9" s="11">
        <v>69.97441872704421</v>
      </c>
      <c r="AJ9" s="11">
        <v>19.577345370370846</v>
      </c>
      <c r="AK9" s="11">
        <v>40.195487005658983</v>
      </c>
      <c r="AL9" s="11">
        <v>74.342475150000141</v>
      </c>
      <c r="AM9" s="11">
        <v>32.206996896850029</v>
      </c>
      <c r="AN9" s="11">
        <v>21.460272509056566</v>
      </c>
      <c r="AO9" s="11">
        <v>82.33647197035522</v>
      </c>
      <c r="AP9" s="11">
        <v>67.821894399749894</v>
      </c>
      <c r="AQ9" s="11">
        <v>94.606752729946692</v>
      </c>
      <c r="AR9" s="11">
        <v>0.72068803750584554</v>
      </c>
      <c r="AS9" s="11">
        <v>20.991489586236277</v>
      </c>
      <c r="AT9" s="11">
        <v>28.53522068140051</v>
      </c>
      <c r="AU9" s="11">
        <v>42.07882013600495</v>
      </c>
      <c r="AV9" s="11">
        <v>27.157641130190026</v>
      </c>
      <c r="AW9" s="11">
        <v>40.43542121766982</v>
      </c>
      <c r="AX9" s="11">
        <v>53.730067794855287</v>
      </c>
      <c r="AY9" s="11">
        <v>97.688360463752019</v>
      </c>
      <c r="AZ9" s="11">
        <v>74.489913835474553</v>
      </c>
      <c r="BA9" s="11">
        <v>94.767113010804678</v>
      </c>
      <c r="BB9" s="11">
        <v>15.31157836012097</v>
      </c>
      <c r="BC9" s="11">
        <v>35.274878167288492</v>
      </c>
      <c r="BD9" s="11">
        <v>61.059629850668649</v>
      </c>
      <c r="BE9" s="11">
        <v>7.2344988388276406</v>
      </c>
    </row>
    <row r="10" spans="2:58" x14ac:dyDescent="0.3">
      <c r="B10" s="5">
        <v>2015</v>
      </c>
      <c r="C10" s="6" t="s">
        <v>12</v>
      </c>
      <c r="D10" s="6" t="s">
        <v>13</v>
      </c>
      <c r="E10" s="6" t="s">
        <v>120</v>
      </c>
      <c r="F10" s="10">
        <v>81.996662221259413</v>
      </c>
      <c r="G10" s="10">
        <v>31.663901723484834</v>
      </c>
      <c r="H10" s="10">
        <v>61.852215505022535</v>
      </c>
      <c r="I10" s="10">
        <v>85.528144103060356</v>
      </c>
      <c r="J10" s="10">
        <v>71.365353551500704</v>
      </c>
      <c r="K10" s="10">
        <v>12.175341495634518</v>
      </c>
      <c r="L10" s="10">
        <v>60.602604865546795</v>
      </c>
      <c r="M10" s="10">
        <v>40.453417209993717</v>
      </c>
      <c r="N10" s="10">
        <v>89.497149247647073</v>
      </c>
      <c r="O10" s="10">
        <v>86.530663200096541</v>
      </c>
      <c r="P10" s="10">
        <v>36.50599247463937</v>
      </c>
      <c r="Q10" s="10">
        <v>80.633870424415903</v>
      </c>
      <c r="R10" s="10">
        <v>31.719973052900773</v>
      </c>
      <c r="S10" s="10">
        <v>62.417114783495208</v>
      </c>
      <c r="T10" s="10">
        <v>59.985363453416404</v>
      </c>
      <c r="U10" s="10">
        <v>87.967257774465935</v>
      </c>
      <c r="V10" s="10">
        <v>29.650695913129212</v>
      </c>
      <c r="W10" s="10">
        <v>47.604455128344746</v>
      </c>
      <c r="X10" s="10">
        <v>12.010523431098285</v>
      </c>
      <c r="Y10" s="10">
        <v>1.9215304704718439</v>
      </c>
      <c r="Z10" s="10">
        <v>6.8924702714806436</v>
      </c>
      <c r="AA10" s="10">
        <v>66.700632915378051</v>
      </c>
      <c r="AB10" s="10">
        <v>79.66299371844795</v>
      </c>
      <c r="AC10" s="10">
        <v>6.195563161324813</v>
      </c>
      <c r="AD10" s="10">
        <v>31.973474793158719</v>
      </c>
      <c r="AE10" s="10">
        <v>94.148985715845129</v>
      </c>
      <c r="AF10" s="10">
        <v>89.414628938858982</v>
      </c>
      <c r="AG10" s="10">
        <v>59.175361736765353</v>
      </c>
      <c r="AH10" s="10">
        <v>59.42350572166832</v>
      </c>
      <c r="AI10" s="10">
        <v>79.066567542041128</v>
      </c>
      <c r="AJ10" s="10">
        <v>27.213895088940944</v>
      </c>
      <c r="AK10" s="10">
        <v>37.756202112215341</v>
      </c>
      <c r="AL10" s="10">
        <v>72.531882318935587</v>
      </c>
      <c r="AM10" s="10">
        <v>19.389703436691232</v>
      </c>
      <c r="AN10" s="10">
        <v>17.847013057857918</v>
      </c>
      <c r="AO10" s="10">
        <v>13.674027874134209</v>
      </c>
      <c r="AP10" s="10">
        <v>82.16420214813725</v>
      </c>
      <c r="AQ10" s="10">
        <v>92.28698729337259</v>
      </c>
      <c r="AR10" s="10">
        <v>84.92173147219998</v>
      </c>
      <c r="AS10" s="10">
        <v>17.616569362758671</v>
      </c>
      <c r="AT10" s="10">
        <v>12.628602459451344</v>
      </c>
      <c r="AU10" s="10">
        <v>29.269084476269846</v>
      </c>
      <c r="AV10" s="10">
        <v>89.299405501746094</v>
      </c>
      <c r="AW10" s="10">
        <v>23.308893159423249</v>
      </c>
      <c r="AX10" s="10">
        <v>0.3610591548216302</v>
      </c>
      <c r="AY10" s="10">
        <v>84.203201719108975</v>
      </c>
      <c r="AZ10" s="10">
        <v>79.109131474443345</v>
      </c>
      <c r="BA10" s="10">
        <v>66.472028010596333</v>
      </c>
      <c r="BB10" s="10">
        <v>11.473595090180243</v>
      </c>
      <c r="BC10" s="10">
        <v>22.778463146534488</v>
      </c>
      <c r="BD10" s="10">
        <v>1.4120581418120004</v>
      </c>
      <c r="BE10" s="10">
        <v>81.172755405534673</v>
      </c>
    </row>
    <row r="11" spans="2:58" x14ac:dyDescent="0.3">
      <c r="B11" s="7">
        <v>2015</v>
      </c>
      <c r="C11" s="8" t="s">
        <v>14</v>
      </c>
      <c r="D11" s="8" t="s">
        <v>15</v>
      </c>
      <c r="E11" s="8" t="s">
        <v>121</v>
      </c>
      <c r="F11" s="11">
        <v>31.812085472384222</v>
      </c>
      <c r="G11" s="11">
        <v>6.9804312434723625</v>
      </c>
      <c r="H11" s="11">
        <v>61.862147728587424</v>
      </c>
      <c r="I11" s="11">
        <v>68.405656872014291</v>
      </c>
      <c r="J11" s="11">
        <v>99.7902159747361</v>
      </c>
      <c r="K11" s="11">
        <v>90.348669818427226</v>
      </c>
      <c r="L11" s="11">
        <v>38.98214701452175</v>
      </c>
      <c r="M11" s="11">
        <v>49.094198176993856</v>
      </c>
      <c r="N11" s="11">
        <v>55.360260831116015</v>
      </c>
      <c r="O11" s="11">
        <v>23.121183736692117</v>
      </c>
      <c r="P11" s="11">
        <v>38.6734891136323</v>
      </c>
      <c r="Q11" s="11">
        <v>55.165450270562921</v>
      </c>
      <c r="R11" s="11">
        <v>18.160809996396122</v>
      </c>
      <c r="S11" s="11">
        <v>75.418148330781051</v>
      </c>
      <c r="T11" s="11">
        <v>54.966300758201299</v>
      </c>
      <c r="U11" s="11">
        <v>26.68079953843414</v>
      </c>
      <c r="V11" s="11">
        <v>75.104307719069737</v>
      </c>
      <c r="W11" s="11">
        <v>2.2125620513778643</v>
      </c>
      <c r="X11" s="11">
        <v>87.407493513852813</v>
      </c>
      <c r="Y11" s="11">
        <v>90.251493003073918</v>
      </c>
      <c r="Z11" s="11">
        <v>2.0958351238410833</v>
      </c>
      <c r="AA11" s="11">
        <v>82.220591141083204</v>
      </c>
      <c r="AB11" s="11">
        <v>31.673664405040046</v>
      </c>
      <c r="AC11" s="11">
        <v>30.394339615492395</v>
      </c>
      <c r="AD11" s="11">
        <v>87.680961294800639</v>
      </c>
      <c r="AE11" s="11">
        <v>17.607975286334</v>
      </c>
      <c r="AF11" s="11">
        <v>98.79649635030006</v>
      </c>
      <c r="AG11" s="11">
        <v>74.729405481140248</v>
      </c>
      <c r="AH11" s="11">
        <v>12.784079731572817</v>
      </c>
      <c r="AI11" s="11">
        <v>3.0610785486924863</v>
      </c>
      <c r="AJ11" s="11">
        <v>86.080180469665748</v>
      </c>
      <c r="AK11" s="11">
        <v>52.143143563977524</v>
      </c>
      <c r="AL11" s="11">
        <v>93.049903376550247</v>
      </c>
      <c r="AM11" s="11">
        <v>41.569863844757506</v>
      </c>
      <c r="AN11" s="11">
        <v>55.90400310438374</v>
      </c>
      <c r="AO11" s="11">
        <v>53.050457579327727</v>
      </c>
      <c r="AP11" s="11">
        <v>66.573232306333836</v>
      </c>
      <c r="AQ11" s="11">
        <v>35.632704071049872</v>
      </c>
      <c r="AR11" s="11">
        <v>8.2550251696263501</v>
      </c>
      <c r="AS11" s="11">
        <v>59.363116670548379</v>
      </c>
      <c r="AT11" s="11">
        <v>99.038569452533892</v>
      </c>
      <c r="AU11" s="11">
        <v>3.2649921458442255</v>
      </c>
      <c r="AV11" s="11">
        <v>75.220035139135661</v>
      </c>
      <c r="AW11" s="11">
        <v>81.792489022406272</v>
      </c>
      <c r="AX11" s="11">
        <v>54.792324223946778</v>
      </c>
      <c r="AY11" s="11">
        <v>99.889040860993617</v>
      </c>
      <c r="AZ11" s="11">
        <v>40.734010232239648</v>
      </c>
      <c r="BA11" s="11">
        <v>34.095333303272035</v>
      </c>
      <c r="BB11" s="11">
        <v>24.166247852492372</v>
      </c>
      <c r="BC11" s="11">
        <v>31.104444460299916</v>
      </c>
      <c r="BD11" s="11">
        <v>92.761942623798916</v>
      </c>
      <c r="BE11" s="11">
        <v>79.83751968691405</v>
      </c>
    </row>
    <row r="12" spans="2:58" x14ac:dyDescent="0.3">
      <c r="B12" s="5">
        <v>2015</v>
      </c>
      <c r="C12" s="6" t="s">
        <v>16</v>
      </c>
      <c r="D12" s="6" t="s">
        <v>17</v>
      </c>
      <c r="E12" s="6" t="s">
        <v>122</v>
      </c>
      <c r="F12" s="10">
        <v>22.037216872749312</v>
      </c>
      <c r="G12" s="10">
        <v>30.499436575314199</v>
      </c>
      <c r="H12" s="10">
        <v>95.365593320865699</v>
      </c>
      <c r="I12" s="10">
        <v>54.007912731338237</v>
      </c>
      <c r="J12" s="10">
        <v>83.908510075742598</v>
      </c>
      <c r="K12" s="10">
        <v>65.354396639079766</v>
      </c>
      <c r="L12" s="10">
        <v>46.131763466475604</v>
      </c>
      <c r="M12" s="10">
        <v>97.07862088264126</v>
      </c>
      <c r="N12" s="10">
        <v>82.320350007953166</v>
      </c>
      <c r="O12" s="10">
        <v>18.324489053497416</v>
      </c>
      <c r="P12" s="10">
        <v>71.659912621986905</v>
      </c>
      <c r="Q12" s="10">
        <v>44.160628273284338</v>
      </c>
      <c r="R12" s="10">
        <v>60.061688942820766</v>
      </c>
      <c r="S12" s="10">
        <v>86.783230690902357</v>
      </c>
      <c r="T12" s="10">
        <v>77.141490313266218</v>
      </c>
      <c r="U12" s="10">
        <v>34.920242167264782</v>
      </c>
      <c r="V12" s="10">
        <v>88.618205575603426</v>
      </c>
      <c r="W12" s="10">
        <v>31.737197387952154</v>
      </c>
      <c r="X12" s="10">
        <v>16.003926250015667</v>
      </c>
      <c r="Y12" s="10">
        <v>15.46057275388052</v>
      </c>
      <c r="Z12" s="10">
        <v>7.4606229683656045</v>
      </c>
      <c r="AA12" s="10">
        <v>65.284466833457444</v>
      </c>
      <c r="AB12" s="10">
        <v>6.2242470659163773</v>
      </c>
      <c r="AC12" s="10">
        <v>2.3725695797582769</v>
      </c>
      <c r="AD12" s="10">
        <v>94.541130395559023</v>
      </c>
      <c r="AE12" s="10">
        <v>17.47681303447769</v>
      </c>
      <c r="AF12" s="10">
        <v>23.062382439765528</v>
      </c>
      <c r="AG12" s="10">
        <v>58.161796817783355</v>
      </c>
      <c r="AH12" s="10">
        <v>32.991648987761693</v>
      </c>
      <c r="AI12" s="10">
        <v>4.9023889229951827</v>
      </c>
      <c r="AJ12" s="10">
        <v>79.248442218343982</v>
      </c>
      <c r="AK12" s="10">
        <v>7.4103892188712051</v>
      </c>
      <c r="AL12" s="10">
        <v>23.841268735346731</v>
      </c>
      <c r="AM12" s="10">
        <v>35.457949222801346</v>
      </c>
      <c r="AN12" s="10">
        <v>59.253397351681848</v>
      </c>
      <c r="AO12" s="10">
        <v>57.813642470599525</v>
      </c>
      <c r="AP12" s="10">
        <v>24.236378316564753</v>
      </c>
      <c r="AQ12" s="10">
        <v>84.396759754735371</v>
      </c>
      <c r="AR12" s="10">
        <v>21.265807260758528</v>
      </c>
      <c r="AS12" s="10">
        <v>79.951798343424826</v>
      </c>
      <c r="AT12" s="10">
        <v>43.806624914850069</v>
      </c>
      <c r="AU12" s="10">
        <v>78.637245157734881</v>
      </c>
      <c r="AV12" s="10">
        <v>0.42731755932857718</v>
      </c>
      <c r="AW12" s="10">
        <v>23.013804483311585</v>
      </c>
      <c r="AX12" s="10">
        <v>60.734317007029063</v>
      </c>
      <c r="AY12" s="10">
        <v>44.418724561461531</v>
      </c>
      <c r="AZ12" s="10">
        <v>39.32807309828209</v>
      </c>
      <c r="BA12" s="10">
        <v>73.849416710358398</v>
      </c>
      <c r="BB12" s="10">
        <v>9.3106435828917977</v>
      </c>
      <c r="BC12" s="10">
        <v>65.173990602325588</v>
      </c>
      <c r="BD12" s="10">
        <v>97.718028788264718</v>
      </c>
      <c r="BE12" s="10">
        <v>72.553506479957022</v>
      </c>
    </row>
    <row r="13" spans="2:58" x14ac:dyDescent="0.3">
      <c r="B13" s="7">
        <v>2015</v>
      </c>
      <c r="C13" s="8" t="s">
        <v>18</v>
      </c>
      <c r="D13" s="8" t="s">
        <v>19</v>
      </c>
      <c r="E13" s="8" t="s">
        <v>123</v>
      </c>
      <c r="F13" s="11">
        <v>39.580491846856582</v>
      </c>
      <c r="G13" s="11">
        <v>49.558444985343364</v>
      </c>
      <c r="H13" s="11">
        <v>41.857268345287302</v>
      </c>
      <c r="I13" s="11">
        <v>11.233103027143244</v>
      </c>
      <c r="J13" s="11">
        <v>80.439274111929564</v>
      </c>
      <c r="K13" s="11">
        <v>58.428125476368507</v>
      </c>
      <c r="L13" s="11">
        <v>21.134345593739646</v>
      </c>
      <c r="M13" s="11">
        <v>93.712367973804874</v>
      </c>
      <c r="N13" s="11">
        <v>46.669480724501987</v>
      </c>
      <c r="O13" s="11">
        <v>6.189608173201111</v>
      </c>
      <c r="P13" s="11">
        <v>57.806076369037228</v>
      </c>
      <c r="Q13" s="11">
        <v>92.631403830881069</v>
      </c>
      <c r="R13" s="11">
        <v>87.147183211848684</v>
      </c>
      <c r="S13" s="11">
        <v>27.414843255033784</v>
      </c>
      <c r="T13" s="11">
        <v>93.156307924545146</v>
      </c>
      <c r="U13" s="11">
        <v>52.154953610632063</v>
      </c>
      <c r="V13" s="11">
        <v>76.743141104662101</v>
      </c>
      <c r="W13" s="11">
        <v>91.458671039592147</v>
      </c>
      <c r="X13" s="11">
        <v>7.3321410063129422</v>
      </c>
      <c r="Y13" s="11">
        <v>84.010980736857974</v>
      </c>
      <c r="Z13" s="11">
        <v>46.206497195152707</v>
      </c>
      <c r="AA13" s="11">
        <v>23.939801324256059</v>
      </c>
      <c r="AB13" s="11">
        <v>67.005997705252966</v>
      </c>
      <c r="AC13" s="11">
        <v>26.267843081157103</v>
      </c>
      <c r="AD13" s="11">
        <v>44.425249790427621</v>
      </c>
      <c r="AE13" s="11">
        <v>42.445935081642538</v>
      </c>
      <c r="AF13" s="11">
        <v>31.61000348974682</v>
      </c>
      <c r="AG13" s="11">
        <v>12.950500017820698</v>
      </c>
      <c r="AH13" s="11">
        <v>34.713462512623096</v>
      </c>
      <c r="AI13" s="11">
        <v>50.138111702188105</v>
      </c>
      <c r="AJ13" s="11">
        <v>68.044180741374689</v>
      </c>
      <c r="AK13" s="11">
        <v>33.536196705354286</v>
      </c>
      <c r="AL13" s="11">
        <v>65.193505532641666</v>
      </c>
      <c r="AM13" s="11">
        <v>59.929453179338552</v>
      </c>
      <c r="AN13" s="11">
        <v>73.026478976788084</v>
      </c>
      <c r="AO13" s="11">
        <v>88.959341678011043</v>
      </c>
      <c r="AP13" s="11">
        <v>2.0497459389725803</v>
      </c>
      <c r="AQ13" s="11">
        <v>68.904318862180602</v>
      </c>
      <c r="AR13" s="11">
        <v>67.696820890704402</v>
      </c>
      <c r="AS13" s="11">
        <v>84.458110007497012</v>
      </c>
      <c r="AT13" s="11">
        <v>73.078611913186748</v>
      </c>
      <c r="AU13" s="11">
        <v>99.231443577681574</v>
      </c>
      <c r="AV13" s="11">
        <v>6.3832655128621463</v>
      </c>
      <c r="AW13" s="11">
        <v>51.771152707394229</v>
      </c>
      <c r="AX13" s="11">
        <v>14.494468777731672</v>
      </c>
      <c r="AY13" s="11">
        <v>89.358763575048641</v>
      </c>
      <c r="AZ13" s="11">
        <v>16.185863502634689</v>
      </c>
      <c r="BA13" s="11">
        <v>71.600625935651095</v>
      </c>
      <c r="BB13" s="11">
        <v>81.906972147123071</v>
      </c>
      <c r="BC13" s="11">
        <v>3.2353982553283256</v>
      </c>
      <c r="BD13" s="11">
        <v>88.529095062198522</v>
      </c>
      <c r="BE13" s="11">
        <v>7.0569059305026327</v>
      </c>
    </row>
    <row r="14" spans="2:58" x14ac:dyDescent="0.3">
      <c r="B14" s="5">
        <v>2015</v>
      </c>
      <c r="C14" s="6" t="s">
        <v>20</v>
      </c>
      <c r="D14" s="6" t="s">
        <v>21</v>
      </c>
      <c r="E14" s="6" t="s">
        <v>124</v>
      </c>
      <c r="F14" s="10">
        <v>19.492764140656416</v>
      </c>
      <c r="G14" s="10">
        <v>38.625215748531339</v>
      </c>
      <c r="H14" s="10">
        <v>90.119482827609176</v>
      </c>
      <c r="I14" s="10">
        <v>15.341115885256018</v>
      </c>
      <c r="J14" s="10">
        <v>69.60148821301982</v>
      </c>
      <c r="K14" s="10">
        <v>28.306037936574924</v>
      </c>
      <c r="L14" s="10">
        <v>89.16156030809573</v>
      </c>
      <c r="M14" s="10">
        <v>2.5849183506467255</v>
      </c>
      <c r="N14" s="10">
        <v>61.562787764101635</v>
      </c>
      <c r="O14" s="10">
        <v>91.370812667660829</v>
      </c>
      <c r="P14" s="10">
        <v>98.089919134795196</v>
      </c>
      <c r="Q14" s="10">
        <v>50.506889873418068</v>
      </c>
      <c r="R14" s="10">
        <v>58.691046676013855</v>
      </c>
      <c r="S14" s="10">
        <v>64.218873399003755</v>
      </c>
      <c r="T14" s="10">
        <v>34.622771323260118</v>
      </c>
      <c r="U14" s="10">
        <v>30.775701150480995</v>
      </c>
      <c r="V14" s="10">
        <v>1.6902571923640752</v>
      </c>
      <c r="W14" s="10">
        <v>26.184364965897878</v>
      </c>
      <c r="X14" s="10">
        <v>75.592011404029208</v>
      </c>
      <c r="Y14" s="10">
        <v>2.4322600660641069</v>
      </c>
      <c r="Z14" s="10">
        <v>94.716990438013028</v>
      </c>
      <c r="AA14" s="10">
        <v>99.76673391358284</v>
      </c>
      <c r="AB14" s="10">
        <v>51.306576904827139</v>
      </c>
      <c r="AC14" s="10">
        <v>35.86535162629697</v>
      </c>
      <c r="AD14" s="10">
        <v>77.597883790170869</v>
      </c>
      <c r="AE14" s="10">
        <v>59.524173313489072</v>
      </c>
      <c r="AF14" s="10">
        <v>58.092365538390055</v>
      </c>
      <c r="AG14" s="10">
        <v>23.516810562412171</v>
      </c>
      <c r="AH14" s="10">
        <v>45.076663787251967</v>
      </c>
      <c r="AI14" s="10">
        <v>8.041466760788218</v>
      </c>
      <c r="AJ14" s="10">
        <v>77.780706535539323</v>
      </c>
      <c r="AK14" s="10">
        <v>94.679866549011592</v>
      </c>
      <c r="AL14" s="10">
        <v>25.817574003765099</v>
      </c>
      <c r="AM14" s="10">
        <v>36.442053145399569</v>
      </c>
      <c r="AN14" s="10">
        <v>87.287513986261402</v>
      </c>
      <c r="AO14" s="10">
        <v>38.263752533707205</v>
      </c>
      <c r="AP14" s="10">
        <v>76.559090730568897</v>
      </c>
      <c r="AQ14" s="10">
        <v>49.404213944374511</v>
      </c>
      <c r="AR14" s="10">
        <v>11.484289685256233</v>
      </c>
      <c r="AS14" s="10">
        <v>39.402914646398315</v>
      </c>
      <c r="AT14" s="10">
        <v>53.858336114871854</v>
      </c>
      <c r="AU14" s="10">
        <v>48.035036081246616</v>
      </c>
      <c r="AV14" s="10">
        <v>81.192688555072905</v>
      </c>
      <c r="AW14" s="10">
        <v>45.751411258159557</v>
      </c>
      <c r="AX14" s="10">
        <v>23.498973699110358</v>
      </c>
      <c r="AY14" s="10">
        <v>60.997972747721128</v>
      </c>
      <c r="AZ14" s="10">
        <v>68.537359482034304</v>
      </c>
      <c r="BA14" s="10">
        <v>6.8936156710752483</v>
      </c>
      <c r="BB14" s="10">
        <v>59.064627638595432</v>
      </c>
      <c r="BC14" s="10">
        <v>5.4359336746725102</v>
      </c>
      <c r="BD14" s="10">
        <v>18.600439098033995</v>
      </c>
      <c r="BE14" s="10">
        <v>29.881031620613829</v>
      </c>
    </row>
    <row r="15" spans="2:58" x14ac:dyDescent="0.3">
      <c r="B15" s="7">
        <v>2015</v>
      </c>
      <c r="C15" s="8" t="s">
        <v>22</v>
      </c>
      <c r="D15" s="8" t="s">
        <v>23</v>
      </c>
      <c r="E15" s="8" t="s">
        <v>125</v>
      </c>
      <c r="F15" s="11">
        <v>55.038738700023025</v>
      </c>
      <c r="G15" s="11">
        <v>38.509368452932357</v>
      </c>
      <c r="H15" s="11">
        <v>91.590649110409004</v>
      </c>
      <c r="I15" s="11">
        <v>71.720318331264068</v>
      </c>
      <c r="J15" s="11">
        <v>25.516744930324322</v>
      </c>
      <c r="K15" s="11">
        <v>95.009290540463169</v>
      </c>
      <c r="L15" s="11">
        <v>97.668913362414727</v>
      </c>
      <c r="M15" s="11">
        <v>93.450301790753713</v>
      </c>
      <c r="N15" s="11">
        <v>45.704312260655534</v>
      </c>
      <c r="O15" s="11">
        <v>82.298754095298776</v>
      </c>
      <c r="P15" s="11">
        <v>94.893012692694867</v>
      </c>
      <c r="Q15" s="11">
        <v>79.246339594040975</v>
      </c>
      <c r="R15" s="11">
        <v>32.151529430598117</v>
      </c>
      <c r="S15" s="11">
        <v>90.285463137977189</v>
      </c>
      <c r="T15" s="11">
        <v>83.847348136283685</v>
      </c>
      <c r="U15" s="11">
        <v>47.323061407366396</v>
      </c>
      <c r="V15" s="11">
        <v>70.316453600036269</v>
      </c>
      <c r="W15" s="11">
        <v>95.781641924464765</v>
      </c>
      <c r="X15" s="11">
        <v>20.103441242065511</v>
      </c>
      <c r="Y15" s="11">
        <v>44.660222430276384</v>
      </c>
      <c r="Z15" s="11">
        <v>85.0654018609996</v>
      </c>
      <c r="AA15" s="11">
        <v>42.302983913171722</v>
      </c>
      <c r="AB15" s="11">
        <v>51.664225799498631</v>
      </c>
      <c r="AC15" s="11">
        <v>52.678306870207891</v>
      </c>
      <c r="AD15" s="11">
        <v>70.131492859684712</v>
      </c>
      <c r="AE15" s="11">
        <v>12.042999102163209</v>
      </c>
      <c r="AF15" s="11">
        <v>24.484847410090172</v>
      </c>
      <c r="AG15" s="11">
        <v>64.439250083764904</v>
      </c>
      <c r="AH15" s="11">
        <v>10.620191240914545</v>
      </c>
      <c r="AI15" s="11">
        <v>23.682081075475736</v>
      </c>
      <c r="AJ15" s="11">
        <v>62.579606699094789</v>
      </c>
      <c r="AK15" s="11">
        <v>39.653088733179523</v>
      </c>
      <c r="AL15" s="11">
        <v>2.9924975613661364</v>
      </c>
      <c r="AM15" s="11">
        <v>27.189346057260256</v>
      </c>
      <c r="AN15" s="11">
        <v>85.22399427697988</v>
      </c>
      <c r="AO15" s="11">
        <v>26.212038683085837</v>
      </c>
      <c r="AP15" s="11">
        <v>1.9769349943708048</v>
      </c>
      <c r="AQ15" s="11">
        <v>48.519391768093392</v>
      </c>
      <c r="AR15" s="11">
        <v>17.425167101087556</v>
      </c>
      <c r="AS15" s="11">
        <v>43.472613581568488</v>
      </c>
      <c r="AT15" s="11">
        <v>88.384722046674824</v>
      </c>
      <c r="AU15" s="11">
        <v>5.657199502999366</v>
      </c>
      <c r="AV15" s="11">
        <v>39.074332393484553</v>
      </c>
      <c r="AW15" s="11">
        <v>46.431085490880427</v>
      </c>
      <c r="AX15" s="11">
        <v>39.529567018532319</v>
      </c>
      <c r="AY15" s="11">
        <v>58.927216527071394</v>
      </c>
      <c r="AZ15" s="11">
        <v>62.632910850613079</v>
      </c>
      <c r="BA15" s="11">
        <v>4.9773157691793806</v>
      </c>
      <c r="BB15" s="11">
        <v>17.906054896766477</v>
      </c>
      <c r="BC15" s="11">
        <v>49.512396336198293</v>
      </c>
      <c r="BD15" s="11">
        <v>38.964621360211474</v>
      </c>
      <c r="BE15" s="11">
        <v>85.570251611828326</v>
      </c>
    </row>
    <row r="16" spans="2:58" x14ac:dyDescent="0.3">
      <c r="B16" s="5">
        <v>2015</v>
      </c>
      <c r="C16" s="6" t="s">
        <v>24</v>
      </c>
      <c r="D16" s="6" t="s">
        <v>25</v>
      </c>
      <c r="E16" s="6" t="s">
        <v>126</v>
      </c>
      <c r="F16" s="10">
        <v>26.467900231691786</v>
      </c>
      <c r="G16" s="10">
        <v>24.496236774882053</v>
      </c>
      <c r="H16" s="10">
        <v>82.440779599187465</v>
      </c>
      <c r="I16" s="10">
        <v>29.303617765279444</v>
      </c>
      <c r="J16" s="10">
        <v>5.0924032250928786</v>
      </c>
      <c r="K16" s="10">
        <v>45.672967915435933</v>
      </c>
      <c r="L16" s="10">
        <v>17.235767385717249</v>
      </c>
      <c r="M16" s="10">
        <v>25.004948489906418</v>
      </c>
      <c r="N16" s="10">
        <v>77.7120401834826</v>
      </c>
      <c r="O16" s="10">
        <v>41.691324983438882</v>
      </c>
      <c r="P16" s="10">
        <v>68.51399586080052</v>
      </c>
      <c r="Q16" s="10">
        <v>18.115540258685748</v>
      </c>
      <c r="R16" s="10">
        <v>92.052569915183938</v>
      </c>
      <c r="S16" s="10">
        <v>46.046526957586963</v>
      </c>
      <c r="T16" s="10">
        <v>22.241287295086053</v>
      </c>
      <c r="U16" s="10">
        <v>74.406530125955058</v>
      </c>
      <c r="V16" s="10">
        <v>90.324166057595463</v>
      </c>
      <c r="W16" s="10">
        <v>94.811447062324604</v>
      </c>
      <c r="X16" s="10">
        <v>92.577994470765361</v>
      </c>
      <c r="Y16" s="10">
        <v>56.570076980149594</v>
      </c>
      <c r="Z16" s="10">
        <v>40.878513000013413</v>
      </c>
      <c r="AA16" s="10">
        <v>64.760303013190949</v>
      </c>
      <c r="AB16" s="10">
        <v>82.233588058701315</v>
      </c>
      <c r="AC16" s="10">
        <v>18.075402335094527</v>
      </c>
      <c r="AD16" s="10">
        <v>54.411610775102147</v>
      </c>
      <c r="AE16" s="10">
        <v>24.412406418324707</v>
      </c>
      <c r="AF16" s="10">
        <v>10.200628831329761</v>
      </c>
      <c r="AG16" s="10">
        <v>24.030209177314564</v>
      </c>
      <c r="AH16" s="10">
        <v>0.35348692996994835</v>
      </c>
      <c r="AI16" s="10">
        <v>1.9655801456477828</v>
      </c>
      <c r="AJ16" s="10">
        <v>3.8022969352274893</v>
      </c>
      <c r="AK16" s="10">
        <v>58.515718482249682</v>
      </c>
      <c r="AL16" s="10">
        <v>49.278899303334136</v>
      </c>
      <c r="AM16" s="10">
        <v>22.79377677507285</v>
      </c>
      <c r="AN16" s="10">
        <v>40.402383918519625</v>
      </c>
      <c r="AO16" s="10">
        <v>71.015891747117806</v>
      </c>
      <c r="AP16" s="10">
        <v>33.976777599187116</v>
      </c>
      <c r="AQ16" s="10">
        <v>32.602145032515338</v>
      </c>
      <c r="AR16" s="10">
        <v>63.769738932411471</v>
      </c>
      <c r="AS16" s="10">
        <v>46.266551416922006</v>
      </c>
      <c r="AT16" s="10">
        <v>77.011426890099727</v>
      </c>
      <c r="AU16" s="10">
        <v>60.123659496243199</v>
      </c>
      <c r="AV16" s="10">
        <v>81.43547564116426</v>
      </c>
      <c r="AW16" s="10">
        <v>1.6671411799003555</v>
      </c>
      <c r="AX16" s="10">
        <v>4.1340836092193971</v>
      </c>
      <c r="AY16" s="10">
        <v>81.115833165689537</v>
      </c>
      <c r="AZ16" s="10">
        <v>85.408427253622236</v>
      </c>
      <c r="BA16" s="10">
        <v>38.927501013824703</v>
      </c>
      <c r="BB16" s="10">
        <v>7.2637811637133449</v>
      </c>
      <c r="BC16" s="10">
        <v>89.124218394738506</v>
      </c>
      <c r="BD16" s="10">
        <v>82.290093349670556</v>
      </c>
      <c r="BE16" s="10">
        <v>77.738712148798925</v>
      </c>
    </row>
    <row r="17" spans="2:57" x14ac:dyDescent="0.3">
      <c r="B17" s="7">
        <v>2015</v>
      </c>
      <c r="C17" s="8" t="s">
        <v>26</v>
      </c>
      <c r="D17" s="8" t="s">
        <v>27</v>
      </c>
      <c r="E17" s="8" t="s">
        <v>127</v>
      </c>
      <c r="F17" s="11">
        <v>51.949480122307357</v>
      </c>
      <c r="G17" s="11">
        <v>51.336112344017501</v>
      </c>
      <c r="H17" s="11">
        <v>31.447850336359817</v>
      </c>
      <c r="I17" s="11">
        <v>90.556770165619426</v>
      </c>
      <c r="J17" s="11">
        <v>49.979898254891197</v>
      </c>
      <c r="K17" s="11">
        <v>8.0355794820295205</v>
      </c>
      <c r="L17" s="11">
        <v>38.448317835204747</v>
      </c>
      <c r="M17" s="11">
        <v>65.675201017120756</v>
      </c>
      <c r="N17" s="11">
        <v>11.968012058583376</v>
      </c>
      <c r="O17" s="11">
        <v>46.888059088720105</v>
      </c>
      <c r="P17" s="11">
        <v>55.09126137849529</v>
      </c>
      <c r="Q17" s="11">
        <v>59.596239187692504</v>
      </c>
      <c r="R17" s="11">
        <v>9.3997236363160717</v>
      </c>
      <c r="S17" s="11">
        <v>91.000687670255687</v>
      </c>
      <c r="T17" s="11">
        <v>44.099350586647915</v>
      </c>
      <c r="U17" s="11">
        <v>34.210973959807504</v>
      </c>
      <c r="V17" s="11">
        <v>95.083425253071724</v>
      </c>
      <c r="W17" s="11">
        <v>21.522371511065465</v>
      </c>
      <c r="X17" s="11">
        <v>41.70797594680856</v>
      </c>
      <c r="Y17" s="11">
        <v>81.06010910158335</v>
      </c>
      <c r="Z17" s="11">
        <v>66.781056320840378</v>
      </c>
      <c r="AA17" s="11">
        <v>3.9957264940769344</v>
      </c>
      <c r="AB17" s="11">
        <v>82.409045857880997</v>
      </c>
      <c r="AC17" s="11">
        <v>32.172974288171474</v>
      </c>
      <c r="AD17" s="11">
        <v>22.149164207810401</v>
      </c>
      <c r="AE17" s="11">
        <v>94.469285488091103</v>
      </c>
      <c r="AF17" s="11">
        <v>28.425408792050042</v>
      </c>
      <c r="AG17" s="11">
        <v>72.92127620771825</v>
      </c>
      <c r="AH17" s="11">
        <v>88.342446222583732</v>
      </c>
      <c r="AI17" s="11">
        <v>63.245652249805097</v>
      </c>
      <c r="AJ17" s="11">
        <v>62.756023690421024</v>
      </c>
      <c r="AK17" s="11">
        <v>70.120135967946382</v>
      </c>
      <c r="AL17" s="11">
        <v>9.175479571207056</v>
      </c>
      <c r="AM17" s="11">
        <v>51.466919558001855</v>
      </c>
      <c r="AN17" s="11">
        <v>4.7142232876144829</v>
      </c>
      <c r="AO17" s="11">
        <v>28.360473374263574</v>
      </c>
      <c r="AP17" s="11">
        <v>51.631829001217376</v>
      </c>
      <c r="AQ17" s="11">
        <v>83.228091482333284</v>
      </c>
      <c r="AR17" s="11">
        <v>36.016992862596339</v>
      </c>
      <c r="AS17" s="11">
        <v>88.724640674061334</v>
      </c>
      <c r="AT17" s="11">
        <v>7.0838173093978662</v>
      </c>
      <c r="AU17" s="11">
        <v>67.81515949109081</v>
      </c>
      <c r="AV17" s="11">
        <v>30.095521990617357</v>
      </c>
      <c r="AW17" s="11">
        <v>77.009899854363113</v>
      </c>
      <c r="AX17" s="11">
        <v>80.279528321942863</v>
      </c>
      <c r="AY17" s="11">
        <v>32.216228025722181</v>
      </c>
      <c r="AZ17" s="11">
        <v>91.942551259906892</v>
      </c>
      <c r="BA17" s="11">
        <v>92.812666307710899</v>
      </c>
      <c r="BB17" s="11">
        <v>8.0448283227200434</v>
      </c>
      <c r="BC17" s="11">
        <v>71.734799671029947</v>
      </c>
      <c r="BD17" s="11">
        <v>45.016311205745595</v>
      </c>
      <c r="BE17" s="11">
        <v>27.803041297966892</v>
      </c>
    </row>
    <row r="18" spans="2:57" x14ac:dyDescent="0.3">
      <c r="B18" s="5">
        <v>2015</v>
      </c>
      <c r="C18" s="6" t="s">
        <v>28</v>
      </c>
      <c r="D18" s="6" t="s">
        <v>29</v>
      </c>
      <c r="E18" s="6" t="s">
        <v>128</v>
      </c>
      <c r="F18" s="10">
        <v>35.328883499389029</v>
      </c>
      <c r="G18" s="10">
        <v>75.810254533985784</v>
      </c>
      <c r="H18" s="10">
        <v>66.94157468270879</v>
      </c>
      <c r="I18" s="10">
        <v>18.558955575809133</v>
      </c>
      <c r="J18" s="10">
        <v>11.408407345344241</v>
      </c>
      <c r="K18" s="10">
        <v>13.51165943120478</v>
      </c>
      <c r="L18" s="10">
        <v>42.132976573681603</v>
      </c>
      <c r="M18" s="10">
        <v>40.954201246813916</v>
      </c>
      <c r="N18" s="10">
        <v>60.323728071247018</v>
      </c>
      <c r="O18" s="10">
        <v>57.143353780379393</v>
      </c>
      <c r="P18" s="10">
        <v>30.518123774277107</v>
      </c>
      <c r="Q18" s="10">
        <v>79.984949561676402</v>
      </c>
      <c r="R18" s="10">
        <v>61.431195273069541</v>
      </c>
      <c r="S18" s="10">
        <v>61.858343272633718</v>
      </c>
      <c r="T18" s="10">
        <v>57.149124812940101</v>
      </c>
      <c r="U18" s="10">
        <v>80.475404199188091</v>
      </c>
      <c r="V18" s="10">
        <v>25.729759331838309</v>
      </c>
      <c r="W18" s="10">
        <v>51.606043371935584</v>
      </c>
      <c r="X18" s="10">
        <v>11.725983087838642</v>
      </c>
      <c r="Y18" s="10">
        <v>19.480604344889418</v>
      </c>
      <c r="Z18" s="10">
        <v>95.090381385964164</v>
      </c>
      <c r="AA18" s="10">
        <v>60.082261078724741</v>
      </c>
      <c r="AB18" s="10">
        <v>75.438273752883617</v>
      </c>
      <c r="AC18" s="10">
        <v>42.892687901912119</v>
      </c>
      <c r="AD18" s="10">
        <v>78.868971407918082</v>
      </c>
      <c r="AE18" s="10">
        <v>69.572378918385212</v>
      </c>
      <c r="AF18" s="10">
        <v>97.554213920950872</v>
      </c>
      <c r="AG18" s="10">
        <v>1.0042707732757616</v>
      </c>
      <c r="AH18" s="10">
        <v>41.710362758851382</v>
      </c>
      <c r="AI18" s="10">
        <v>91.904561986962847</v>
      </c>
      <c r="AJ18" s="10">
        <v>78.318487740589248</v>
      </c>
      <c r="AK18" s="10">
        <v>34.755826942722642</v>
      </c>
      <c r="AL18" s="10">
        <v>23.830860352682027</v>
      </c>
      <c r="AM18" s="10">
        <v>56.032610528189998</v>
      </c>
      <c r="AN18" s="10">
        <v>65.197047446667781</v>
      </c>
      <c r="AO18" s="10">
        <v>59.934854312732732</v>
      </c>
      <c r="AP18" s="10">
        <v>35.858526478140377</v>
      </c>
      <c r="AQ18" s="10">
        <v>69.415654341100947</v>
      </c>
      <c r="AR18" s="10">
        <v>85.666324851436258</v>
      </c>
      <c r="AS18" s="10">
        <v>26.106456143138956</v>
      </c>
      <c r="AT18" s="10">
        <v>76.857986820954537</v>
      </c>
      <c r="AU18" s="10">
        <v>40.030347559026566</v>
      </c>
      <c r="AV18" s="10">
        <v>91.83807994159254</v>
      </c>
      <c r="AW18" s="10">
        <v>46.71696902486002</v>
      </c>
      <c r="AX18" s="10">
        <v>33.689597387642543</v>
      </c>
      <c r="AY18" s="10">
        <v>8.661674848393508</v>
      </c>
      <c r="AZ18" s="10">
        <v>39.205598374068138</v>
      </c>
      <c r="BA18" s="10">
        <v>89.572265969552717</v>
      </c>
      <c r="BB18" s="10">
        <v>60.110922270808857</v>
      </c>
      <c r="BC18" s="10">
        <v>69.38263051055678</v>
      </c>
      <c r="BD18" s="10">
        <v>22.458447129550141</v>
      </c>
      <c r="BE18" s="10">
        <v>49.182174556026951</v>
      </c>
    </row>
    <row r="19" spans="2:57" x14ac:dyDescent="0.3">
      <c r="B19" s="7">
        <v>2015</v>
      </c>
      <c r="C19" s="8" t="s">
        <v>30</v>
      </c>
      <c r="D19" s="8" t="s">
        <v>31</v>
      </c>
      <c r="E19" s="8" t="s">
        <v>129</v>
      </c>
      <c r="F19" s="11">
        <v>2.2420933073233451</v>
      </c>
      <c r="G19" s="11">
        <v>34.179737914754384</v>
      </c>
      <c r="H19" s="11">
        <v>64.50599680799391</v>
      </c>
      <c r="I19" s="11">
        <v>91.117719142880574</v>
      </c>
      <c r="J19" s="11">
        <v>66.50253603649746</v>
      </c>
      <c r="K19" s="11">
        <v>27.178075442028327</v>
      </c>
      <c r="L19" s="11">
        <v>87.446517703874292</v>
      </c>
      <c r="M19" s="11">
        <v>86.635627428655269</v>
      </c>
      <c r="N19" s="11">
        <v>77.154234689071444</v>
      </c>
      <c r="O19" s="11">
        <v>1.1752935513314466</v>
      </c>
      <c r="P19" s="11">
        <v>10.204971957901687</v>
      </c>
      <c r="Q19" s="11">
        <v>33.254557573501046</v>
      </c>
      <c r="R19" s="11">
        <v>49.255770599348203</v>
      </c>
      <c r="S19" s="11">
        <v>89.208016022658938</v>
      </c>
      <c r="T19" s="11">
        <v>75.67713895590073</v>
      </c>
      <c r="U19" s="11">
        <v>65.659954271341391</v>
      </c>
      <c r="V19" s="11">
        <v>70.19809672789232</v>
      </c>
      <c r="W19" s="11">
        <v>82.573265902886021</v>
      </c>
      <c r="X19" s="11">
        <v>68.381107748764862</v>
      </c>
      <c r="Y19" s="11">
        <v>2.9366397298210334</v>
      </c>
      <c r="Z19" s="11">
        <v>79.427821808156324</v>
      </c>
      <c r="AA19" s="11">
        <v>5.5420315540754554</v>
      </c>
      <c r="AB19" s="11">
        <v>42.676379574991827</v>
      </c>
      <c r="AC19" s="11">
        <v>72.015553359046223</v>
      </c>
      <c r="AD19" s="11">
        <v>96.539380892430742</v>
      </c>
      <c r="AE19" s="11">
        <v>46.563212958041291</v>
      </c>
      <c r="AF19" s="11">
        <v>93.875274793321637</v>
      </c>
      <c r="AG19" s="11">
        <v>98.960877526009966</v>
      </c>
      <c r="AH19" s="11">
        <v>9.6747385387856539</v>
      </c>
      <c r="AI19" s="11">
        <v>80.002058528461774</v>
      </c>
      <c r="AJ19" s="11">
        <v>80.990701847868792</v>
      </c>
      <c r="AK19" s="11">
        <v>76.067908209202045</v>
      </c>
      <c r="AL19" s="11">
        <v>18.62603506101501</v>
      </c>
      <c r="AM19" s="11">
        <v>30.128482723394757</v>
      </c>
      <c r="AN19" s="11">
        <v>96.243348315279093</v>
      </c>
      <c r="AO19" s="11">
        <v>82.299543331933648</v>
      </c>
      <c r="AP19" s="11">
        <v>70.851239740668817</v>
      </c>
      <c r="AQ19" s="11">
        <v>31.844214093081092</v>
      </c>
      <c r="AR19" s="11">
        <v>44.215212773829435</v>
      </c>
      <c r="AS19" s="11">
        <v>75.048780652677365</v>
      </c>
      <c r="AT19" s="11">
        <v>57.148154849313627</v>
      </c>
      <c r="AU19" s="11">
        <v>97.407443145706978</v>
      </c>
      <c r="AV19" s="11">
        <v>82.423426986163165</v>
      </c>
      <c r="AW19" s="11">
        <v>39.728834049237008</v>
      </c>
      <c r="AX19" s="11">
        <v>66.511712253906865</v>
      </c>
      <c r="AY19" s="11">
        <v>30.844740163001006</v>
      </c>
      <c r="AZ19" s="11">
        <v>65.461999163561757</v>
      </c>
      <c r="BA19" s="11">
        <v>13.225354624713304</v>
      </c>
      <c r="BB19" s="11">
        <v>34.986381375956078</v>
      </c>
      <c r="BC19" s="11">
        <v>22.676947812162918</v>
      </c>
      <c r="BD19" s="11">
        <v>14.33805846578451</v>
      </c>
      <c r="BE19" s="11">
        <v>84.216776129939348</v>
      </c>
    </row>
    <row r="20" spans="2:57" x14ac:dyDescent="0.3">
      <c r="B20" s="5">
        <v>2015</v>
      </c>
      <c r="C20" s="6" t="s">
        <v>32</v>
      </c>
      <c r="D20" s="6" t="s">
        <v>33</v>
      </c>
      <c r="E20" s="6" t="s">
        <v>130</v>
      </c>
      <c r="F20" s="10">
        <v>7.1693959682454516</v>
      </c>
      <c r="G20" s="10">
        <v>16.636426954906682</v>
      </c>
      <c r="H20" s="10">
        <v>51.476075898827197</v>
      </c>
      <c r="I20" s="10">
        <v>99.063587691410433</v>
      </c>
      <c r="J20" s="10">
        <v>96.268181694675093</v>
      </c>
      <c r="K20" s="10">
        <v>80.292287647006319</v>
      </c>
      <c r="L20" s="10">
        <v>87.970959505026528</v>
      </c>
      <c r="M20" s="10">
        <v>58.435216838052582</v>
      </c>
      <c r="N20" s="10">
        <v>0.19818681285916906</v>
      </c>
      <c r="O20" s="10">
        <v>33.606391610159079</v>
      </c>
      <c r="P20" s="10">
        <v>43.206147808029606</v>
      </c>
      <c r="Q20" s="10">
        <v>2.1339520941308199</v>
      </c>
      <c r="R20" s="10">
        <v>5.3315210202226959</v>
      </c>
      <c r="S20" s="10">
        <v>63.564831080846439</v>
      </c>
      <c r="T20" s="10">
        <v>77.39209481059703</v>
      </c>
      <c r="U20" s="10">
        <v>11.629247299299728</v>
      </c>
      <c r="V20" s="10">
        <v>55.790247108892956</v>
      </c>
      <c r="W20" s="10">
        <v>38.498741995669214</v>
      </c>
      <c r="X20" s="10">
        <v>83.541103390310127</v>
      </c>
      <c r="Y20" s="10">
        <v>62.38654956147618</v>
      </c>
      <c r="Z20" s="10">
        <v>95.260072823812209</v>
      </c>
      <c r="AA20" s="10">
        <v>81.305325747002115</v>
      </c>
      <c r="AB20" s="10">
        <v>84.998953508224389</v>
      </c>
      <c r="AC20" s="10">
        <v>95.931271968139129</v>
      </c>
      <c r="AD20" s="10">
        <v>66.404475234939014</v>
      </c>
      <c r="AE20" s="10">
        <v>91.941527285973379</v>
      </c>
      <c r="AF20" s="10">
        <v>91.593712684943583</v>
      </c>
      <c r="AG20" s="10">
        <v>91.031227091343908</v>
      </c>
      <c r="AH20" s="10">
        <v>56.367159743389173</v>
      </c>
      <c r="AI20" s="10">
        <v>70.894686007445827</v>
      </c>
      <c r="AJ20" s="10">
        <v>91.668618981861968</v>
      </c>
      <c r="AK20" s="10">
        <v>62.867891028724955</v>
      </c>
      <c r="AL20" s="10">
        <v>8.8154732843966457</v>
      </c>
      <c r="AM20" s="10">
        <v>16.37147860248135</v>
      </c>
      <c r="AN20" s="10">
        <v>83.28436042639936</v>
      </c>
      <c r="AO20" s="10">
        <v>2.0912696053041246</v>
      </c>
      <c r="AP20" s="10">
        <v>30.391521179444137</v>
      </c>
      <c r="AQ20" s="10">
        <v>70.662846541132865</v>
      </c>
      <c r="AR20" s="10">
        <v>55.16954668472912</v>
      </c>
      <c r="AS20" s="10">
        <v>21.646444104457785</v>
      </c>
      <c r="AT20" s="10">
        <v>86.079686860708321</v>
      </c>
      <c r="AU20" s="10">
        <v>14.093100422420468</v>
      </c>
      <c r="AV20" s="10">
        <v>89.920997696144696</v>
      </c>
      <c r="AW20" s="10">
        <v>6.9642349601720888</v>
      </c>
      <c r="AX20" s="10">
        <v>85.755144595718704</v>
      </c>
      <c r="AY20" s="10">
        <v>58.782484542212053</v>
      </c>
      <c r="AZ20" s="10">
        <v>3.0646807944999299</v>
      </c>
      <c r="BA20" s="10">
        <v>85.587352006065672</v>
      </c>
      <c r="BB20" s="10">
        <v>53.902210414267557</v>
      </c>
      <c r="BC20" s="10">
        <v>33.926275726870571</v>
      </c>
      <c r="BD20" s="10">
        <v>77.314694566804903</v>
      </c>
      <c r="BE20" s="10">
        <v>66.718756239348139</v>
      </c>
    </row>
    <row r="21" spans="2:57" x14ac:dyDescent="0.3">
      <c r="B21" s="7">
        <v>2015</v>
      </c>
      <c r="C21" s="8" t="s">
        <v>34</v>
      </c>
      <c r="D21" s="8" t="s">
        <v>35</v>
      </c>
      <c r="E21" s="8" t="s">
        <v>131</v>
      </c>
      <c r="F21" s="11">
        <v>28.37963881841987</v>
      </c>
      <c r="G21" s="11">
        <v>90.537302271467198</v>
      </c>
      <c r="H21" s="11">
        <v>0.1312773032629333</v>
      </c>
      <c r="I21" s="11">
        <v>44.970282227346537</v>
      </c>
      <c r="J21" s="11">
        <v>8.0845239664227968</v>
      </c>
      <c r="K21" s="11">
        <v>82.919454828791643</v>
      </c>
      <c r="L21" s="11">
        <v>80.162831416556813</v>
      </c>
      <c r="M21" s="11">
        <v>43.930302138381592</v>
      </c>
      <c r="N21" s="11">
        <v>32.518990872835651</v>
      </c>
      <c r="O21" s="11">
        <v>34.395112181364915</v>
      </c>
      <c r="P21" s="11">
        <v>49.011038459397625</v>
      </c>
      <c r="Q21" s="11">
        <v>55.283111096443463</v>
      </c>
      <c r="R21" s="11">
        <v>58.695725698569312</v>
      </c>
      <c r="S21" s="11">
        <v>12.228578086356057</v>
      </c>
      <c r="T21" s="11">
        <v>73.696506814347501</v>
      </c>
      <c r="U21" s="11">
        <v>83.989092897998063</v>
      </c>
      <c r="V21" s="11">
        <v>91.316679207149363</v>
      </c>
      <c r="W21" s="11">
        <v>6.428522521999791</v>
      </c>
      <c r="X21" s="11">
        <v>10.831154344255456</v>
      </c>
      <c r="Y21" s="11">
        <v>28.705123467836223</v>
      </c>
      <c r="Z21" s="11">
        <v>13.454870517103256</v>
      </c>
      <c r="AA21" s="11">
        <v>25.645854116095844</v>
      </c>
      <c r="AB21" s="11">
        <v>87.234085085724089</v>
      </c>
      <c r="AC21" s="11">
        <v>54.742016078307167</v>
      </c>
      <c r="AD21" s="11">
        <v>72.13322699186476</v>
      </c>
      <c r="AE21" s="11">
        <v>54.069664661025108</v>
      </c>
      <c r="AF21" s="11">
        <v>44.721750136705921</v>
      </c>
      <c r="AG21" s="11">
        <v>48.88898681383457</v>
      </c>
      <c r="AH21" s="11">
        <v>71.945223336558399</v>
      </c>
      <c r="AI21" s="11">
        <v>73.819117397138982</v>
      </c>
      <c r="AJ21" s="11">
        <v>81.418054006738785</v>
      </c>
      <c r="AK21" s="11">
        <v>8.7853759636051461</v>
      </c>
      <c r="AL21" s="11">
        <v>52.909347229417477</v>
      </c>
      <c r="AM21" s="11">
        <v>79.177901924837698</v>
      </c>
      <c r="AN21" s="11">
        <v>55.319902492730563</v>
      </c>
      <c r="AO21" s="11">
        <v>90.444501033503244</v>
      </c>
      <c r="AP21" s="11">
        <v>59.677775094579957</v>
      </c>
      <c r="AQ21" s="11">
        <v>67.33944565842404</v>
      </c>
      <c r="AR21" s="11">
        <v>29.542027842922746</v>
      </c>
      <c r="AS21" s="11">
        <v>44.575796557722633</v>
      </c>
      <c r="AT21" s="11">
        <v>98.561438058951154</v>
      </c>
      <c r="AU21" s="11">
        <v>50.404910405383141</v>
      </c>
      <c r="AV21" s="11">
        <v>32.728927518292281</v>
      </c>
      <c r="AW21" s="11">
        <v>96.103014302583276</v>
      </c>
      <c r="AX21" s="11">
        <v>79.138292438587598</v>
      </c>
      <c r="AY21" s="11">
        <v>76.156791619032177</v>
      </c>
      <c r="AZ21" s="11">
        <v>60.505831652855846</v>
      </c>
      <c r="BA21" s="11">
        <v>57.8185580443173</v>
      </c>
      <c r="BB21" s="11">
        <v>81.593703161049774</v>
      </c>
      <c r="BC21" s="11">
        <v>18.797277592334318</v>
      </c>
      <c r="BD21" s="11">
        <v>21.637549841539418</v>
      </c>
      <c r="BE21" s="11">
        <v>68.17283775070166</v>
      </c>
    </row>
    <row r="22" spans="2:57" x14ac:dyDescent="0.3">
      <c r="B22" s="5">
        <v>2015</v>
      </c>
      <c r="C22" s="6" t="s">
        <v>36</v>
      </c>
      <c r="D22" s="6" t="s">
        <v>37</v>
      </c>
      <c r="E22" s="6" t="s">
        <v>132</v>
      </c>
      <c r="F22" s="10">
        <v>36.677519914712299</v>
      </c>
      <c r="G22" s="10">
        <v>18.87704390272711</v>
      </c>
      <c r="H22" s="10">
        <v>70.580329388203353</v>
      </c>
      <c r="I22" s="10">
        <v>30.705491894223169</v>
      </c>
      <c r="J22" s="10">
        <v>37.63153478705172</v>
      </c>
      <c r="K22" s="10">
        <v>68.133483600453175</v>
      </c>
      <c r="L22" s="10">
        <v>78.646299052103004</v>
      </c>
      <c r="M22" s="10">
        <v>77.248156424515173</v>
      </c>
      <c r="N22" s="10">
        <v>98.042933886093408</v>
      </c>
      <c r="O22" s="10">
        <v>76.100420750138596</v>
      </c>
      <c r="P22" s="10">
        <v>95.629072672380005</v>
      </c>
      <c r="Q22" s="10">
        <v>40.911842847299908</v>
      </c>
      <c r="R22" s="10">
        <v>54.201783802772276</v>
      </c>
      <c r="S22" s="10">
        <v>93.913733392210247</v>
      </c>
      <c r="T22" s="10">
        <v>97.361343476338575</v>
      </c>
      <c r="U22" s="10">
        <v>13.471518068875476</v>
      </c>
      <c r="V22" s="10">
        <v>10.885335102696702</v>
      </c>
      <c r="W22" s="10">
        <v>1.2804862095309288</v>
      </c>
      <c r="X22" s="10">
        <v>59.926965014768882</v>
      </c>
      <c r="Y22" s="10">
        <v>5.1288654104899685</v>
      </c>
      <c r="Z22" s="10">
        <v>39.108674301077905</v>
      </c>
      <c r="AA22" s="10">
        <v>81.763739055615716</v>
      </c>
      <c r="AB22" s="10">
        <v>44.36883861805341</v>
      </c>
      <c r="AC22" s="10">
        <v>42.351863360513128</v>
      </c>
      <c r="AD22" s="10">
        <v>11.593583673937802</v>
      </c>
      <c r="AE22" s="10">
        <v>59.264384356997013</v>
      </c>
      <c r="AF22" s="10">
        <v>74.638039752335644</v>
      </c>
      <c r="AG22" s="10">
        <v>6.9184597918204531</v>
      </c>
      <c r="AH22" s="10">
        <v>54.938753196961812</v>
      </c>
      <c r="AI22" s="10">
        <v>56.965150007640865</v>
      </c>
      <c r="AJ22" s="10">
        <v>59.344158981869008</v>
      </c>
      <c r="AK22" s="10">
        <v>46.429574097082657</v>
      </c>
      <c r="AL22" s="10">
        <v>88.383614790772398</v>
      </c>
      <c r="AM22" s="10">
        <v>5.7907146927291597</v>
      </c>
      <c r="AN22" s="10">
        <v>36.576775650754648</v>
      </c>
      <c r="AO22" s="10">
        <v>91.59966628219351</v>
      </c>
      <c r="AP22" s="10">
        <v>76.630870723369554</v>
      </c>
      <c r="AQ22" s="10">
        <v>83.187392601565534</v>
      </c>
      <c r="AR22" s="10">
        <v>56.619769796245301</v>
      </c>
      <c r="AS22" s="10">
        <v>98.305573191237855</v>
      </c>
      <c r="AT22" s="10">
        <v>20.869535997484366</v>
      </c>
      <c r="AU22" s="10">
        <v>25.538945429285278</v>
      </c>
      <c r="AV22" s="10">
        <v>65.437006094170968</v>
      </c>
      <c r="AW22" s="10">
        <v>29.092669110615375</v>
      </c>
      <c r="AX22" s="10">
        <v>0.54567879992402091</v>
      </c>
      <c r="AY22" s="10">
        <v>54.439906447363761</v>
      </c>
      <c r="AZ22" s="10">
        <v>58.241882906725749</v>
      </c>
      <c r="BA22" s="10">
        <v>52.338183878253218</v>
      </c>
      <c r="BB22" s="10">
        <v>83.666770742807245</v>
      </c>
      <c r="BC22" s="10">
        <v>70.107041029597553</v>
      </c>
      <c r="BD22" s="10">
        <v>74.82679988560858</v>
      </c>
      <c r="BE22" s="10">
        <v>28.636519598265807</v>
      </c>
    </row>
    <row r="23" spans="2:57" x14ac:dyDescent="0.3">
      <c r="B23" s="7">
        <v>2015</v>
      </c>
      <c r="C23" s="8" t="s">
        <v>38</v>
      </c>
      <c r="D23" s="8" t="s">
        <v>39</v>
      </c>
      <c r="E23" s="8" t="s">
        <v>133</v>
      </c>
      <c r="F23" s="11">
        <v>0.99586850135389149</v>
      </c>
      <c r="G23" s="11">
        <v>87.925737004366553</v>
      </c>
      <c r="H23" s="11">
        <v>45.473124183428638</v>
      </c>
      <c r="I23" s="11">
        <v>53.284292264122172</v>
      </c>
      <c r="J23" s="11">
        <v>15.648154520068946</v>
      </c>
      <c r="K23" s="11">
        <v>26.369702692466291</v>
      </c>
      <c r="L23" s="11">
        <v>96.168869650948466</v>
      </c>
      <c r="M23" s="11">
        <v>25.632723957746084</v>
      </c>
      <c r="N23" s="11">
        <v>56.619516290464055</v>
      </c>
      <c r="O23" s="11">
        <v>28.311862776092809</v>
      </c>
      <c r="P23" s="11">
        <v>60.38814138810573</v>
      </c>
      <c r="Q23" s="11">
        <v>7.2120506534153357</v>
      </c>
      <c r="R23" s="11">
        <v>30.927652877209908</v>
      </c>
      <c r="S23" s="11">
        <v>73.391679062318218</v>
      </c>
      <c r="T23" s="11">
        <v>98.355772180060555</v>
      </c>
      <c r="U23" s="11">
        <v>53.874037051002958</v>
      </c>
      <c r="V23" s="11">
        <v>49.524642406358154</v>
      </c>
      <c r="W23" s="11">
        <v>35.137262457783848</v>
      </c>
      <c r="X23" s="11">
        <v>29.199173254072399</v>
      </c>
      <c r="Y23" s="11">
        <v>94.988369011600398</v>
      </c>
      <c r="Z23" s="11">
        <v>18.7526398762081</v>
      </c>
      <c r="AA23" s="11">
        <v>27.49048105298586</v>
      </c>
      <c r="AB23" s="11">
        <v>28.546473469620224</v>
      </c>
      <c r="AC23" s="11">
        <v>72.801827671550271</v>
      </c>
      <c r="AD23" s="11">
        <v>11.175790852177315</v>
      </c>
      <c r="AE23" s="11">
        <v>24.774035411057206</v>
      </c>
      <c r="AF23" s="11">
        <v>14.730245401534914</v>
      </c>
      <c r="AG23" s="11">
        <v>8.8264531341760595</v>
      </c>
      <c r="AH23" s="11">
        <v>55.400100994773361</v>
      </c>
      <c r="AI23" s="11">
        <v>17.186303215129183</v>
      </c>
      <c r="AJ23" s="11">
        <v>88.480215826515661</v>
      </c>
      <c r="AK23" s="11">
        <v>44.769957418960992</v>
      </c>
      <c r="AL23" s="11">
        <v>60.261414406015092</v>
      </c>
      <c r="AM23" s="11">
        <v>7.2710655522276957</v>
      </c>
      <c r="AN23" s="11">
        <v>4.7930273300030741</v>
      </c>
      <c r="AO23" s="11">
        <v>6.3015094015397395</v>
      </c>
      <c r="AP23" s="11">
        <v>64.563088922339418</v>
      </c>
      <c r="AQ23" s="11">
        <v>90.135483941229495</v>
      </c>
      <c r="AR23" s="11">
        <v>32.054768664586511</v>
      </c>
      <c r="AS23" s="11">
        <v>74.943235212902962</v>
      </c>
      <c r="AT23" s="11">
        <v>10.144813117480933</v>
      </c>
      <c r="AU23" s="11">
        <v>16.326503904551938</v>
      </c>
      <c r="AV23" s="11">
        <v>96.427448422148089</v>
      </c>
      <c r="AW23" s="11">
        <v>41.215712457385358</v>
      </c>
      <c r="AX23" s="11">
        <v>61.082616478302398</v>
      </c>
      <c r="AY23" s="11">
        <v>83.975514629521726</v>
      </c>
      <c r="AZ23" s="11">
        <v>93.107069543697179</v>
      </c>
      <c r="BA23" s="11">
        <v>29.98924050846108</v>
      </c>
      <c r="BB23" s="11">
        <v>54.932338380712373</v>
      </c>
      <c r="BC23" s="11">
        <v>45.312090892296851</v>
      </c>
      <c r="BD23" s="11">
        <v>48.613484003301643</v>
      </c>
      <c r="BE23" s="11">
        <v>42.325179433231433</v>
      </c>
    </row>
    <row r="24" spans="2:57" x14ac:dyDescent="0.3">
      <c r="B24" s="5">
        <v>2015</v>
      </c>
      <c r="C24" s="6" t="s">
        <v>40</v>
      </c>
      <c r="D24" s="6" t="s">
        <v>41</v>
      </c>
      <c r="E24" s="6" t="s">
        <v>134</v>
      </c>
      <c r="F24" s="10">
        <v>41.143823804872767</v>
      </c>
      <c r="G24" s="10">
        <v>32.72243250642957</v>
      </c>
      <c r="H24" s="10">
        <v>9.6107091395922328</v>
      </c>
      <c r="I24" s="10">
        <v>44.561307328200705</v>
      </c>
      <c r="J24" s="10">
        <v>27.437737399450633</v>
      </c>
      <c r="K24" s="10">
        <v>54.879468425184427</v>
      </c>
      <c r="L24" s="10">
        <v>23.085395369721219</v>
      </c>
      <c r="M24" s="10">
        <v>27.279153920201992</v>
      </c>
      <c r="N24" s="10">
        <v>25.25779307648164</v>
      </c>
      <c r="O24" s="10">
        <v>1.9101268020583873</v>
      </c>
      <c r="P24" s="10">
        <v>4.2945298288489813</v>
      </c>
      <c r="Q24" s="10">
        <v>8.088252552620844</v>
      </c>
      <c r="R24" s="10">
        <v>3.6810675132939563</v>
      </c>
      <c r="S24" s="10">
        <v>1.1653922624504709</v>
      </c>
      <c r="T24" s="10">
        <v>86.937644259951625</v>
      </c>
      <c r="U24" s="10">
        <v>27.91491675920653</v>
      </c>
      <c r="V24" s="10">
        <v>76.03189986717743</v>
      </c>
      <c r="W24" s="10">
        <v>81.528167137734812</v>
      </c>
      <c r="X24" s="10">
        <v>2.0574564232560766</v>
      </c>
      <c r="Y24" s="10">
        <v>83.122823443584906</v>
      </c>
      <c r="Z24" s="10">
        <v>5.9756313246819843</v>
      </c>
      <c r="AA24" s="10">
        <v>79.326455883214635</v>
      </c>
      <c r="AB24" s="10">
        <v>89.312938694829128</v>
      </c>
      <c r="AC24" s="10">
        <v>27.509360123771732</v>
      </c>
      <c r="AD24" s="10">
        <v>19.920025673829002</v>
      </c>
      <c r="AE24" s="10">
        <v>6.1021748387699803</v>
      </c>
      <c r="AF24" s="10">
        <v>8.9572909854706122</v>
      </c>
      <c r="AG24" s="10">
        <v>40.420255566133712</v>
      </c>
      <c r="AH24" s="10">
        <v>24.493553582438643</v>
      </c>
      <c r="AI24" s="10">
        <v>19.37741493286369</v>
      </c>
      <c r="AJ24" s="10">
        <v>57.351416881120066</v>
      </c>
      <c r="AK24" s="10">
        <v>44.166202535856328</v>
      </c>
      <c r="AL24" s="10">
        <v>83.983021828819446</v>
      </c>
      <c r="AM24" s="10">
        <v>74.807797107754794</v>
      </c>
      <c r="AN24" s="10">
        <v>98.326681366868655</v>
      </c>
      <c r="AO24" s="10">
        <v>33.155459289113253</v>
      </c>
      <c r="AP24" s="10">
        <v>82.669584102024558</v>
      </c>
      <c r="AQ24" s="10">
        <v>32.844714728575738</v>
      </c>
      <c r="AR24" s="10">
        <v>84.415374348945349</v>
      </c>
      <c r="AS24" s="10">
        <v>28.850863325090138</v>
      </c>
      <c r="AT24" s="10">
        <v>22.521177336542298</v>
      </c>
      <c r="AU24" s="10">
        <v>40.189852851147343</v>
      </c>
      <c r="AV24" s="10">
        <v>89.118431156886203</v>
      </c>
      <c r="AW24" s="10">
        <v>93.060916165486461</v>
      </c>
      <c r="AX24" s="10">
        <v>73.403824467099867</v>
      </c>
      <c r="AY24" s="10">
        <v>40.02596074576973</v>
      </c>
      <c r="AZ24" s="10">
        <v>49.702762841530593</v>
      </c>
      <c r="BA24" s="10">
        <v>60.763589294521992</v>
      </c>
      <c r="BB24" s="10">
        <v>38.298674603798844</v>
      </c>
      <c r="BC24" s="10">
        <v>91.4290362122684</v>
      </c>
      <c r="BD24" s="10">
        <v>34.714205342523741</v>
      </c>
      <c r="BE24" s="10">
        <v>65.648158775703763</v>
      </c>
    </row>
    <row r="25" spans="2:57" x14ac:dyDescent="0.3">
      <c r="B25" s="7">
        <v>2015</v>
      </c>
      <c r="C25" s="8" t="s">
        <v>42</v>
      </c>
      <c r="D25" s="8" t="s">
        <v>43</v>
      </c>
      <c r="E25" s="8" t="s">
        <v>135</v>
      </c>
      <c r="F25" s="11">
        <v>40.93240311715897</v>
      </c>
      <c r="G25" s="11">
        <v>7.0024927332257185</v>
      </c>
      <c r="H25" s="11">
        <v>5.4063421958643554</v>
      </c>
      <c r="I25" s="11">
        <v>7.5698391804971621</v>
      </c>
      <c r="J25" s="11">
        <v>78.895074774978056</v>
      </c>
      <c r="K25" s="11">
        <v>45.018993525953164</v>
      </c>
      <c r="L25" s="11">
        <v>24.982664284187162</v>
      </c>
      <c r="M25" s="11">
        <v>2.6378992631929665</v>
      </c>
      <c r="N25" s="11">
        <v>40.845128953315935</v>
      </c>
      <c r="O25" s="11">
        <v>0.98086464840616561</v>
      </c>
      <c r="P25" s="11">
        <v>44.296071589084143</v>
      </c>
      <c r="Q25" s="11">
        <v>3.3194976717737301</v>
      </c>
      <c r="R25" s="11">
        <v>31.92677554834038</v>
      </c>
      <c r="S25" s="11">
        <v>82.769975955204785</v>
      </c>
      <c r="T25" s="11">
        <v>11.703831629740936</v>
      </c>
      <c r="U25" s="11">
        <v>36.169655971084389</v>
      </c>
      <c r="V25" s="11">
        <v>56.143052884007091</v>
      </c>
      <c r="W25" s="11">
        <v>16.535519931536236</v>
      </c>
      <c r="X25" s="11">
        <v>61.265264780070808</v>
      </c>
      <c r="Y25" s="11">
        <v>8.2906689692101807</v>
      </c>
      <c r="Z25" s="11">
        <v>21.198331252950108</v>
      </c>
      <c r="AA25" s="11">
        <v>63.587524309139511</v>
      </c>
      <c r="AB25" s="11">
        <v>7.4636823408474218</v>
      </c>
      <c r="AC25" s="11">
        <v>42.470868539160755</v>
      </c>
      <c r="AD25" s="11">
        <v>13.677137288863882</v>
      </c>
      <c r="AE25" s="11">
        <v>66.376114905472079</v>
      </c>
      <c r="AF25" s="11">
        <v>41.583635329953616</v>
      </c>
      <c r="AG25" s="11">
        <v>51.332285324515311</v>
      </c>
      <c r="AH25" s="11">
        <v>30.834103072627173</v>
      </c>
      <c r="AI25" s="11">
        <v>42.656096620306883</v>
      </c>
      <c r="AJ25" s="11">
        <v>53.106631897064602</v>
      </c>
      <c r="AK25" s="11">
        <v>65.6847821628768</v>
      </c>
      <c r="AL25" s="11">
        <v>86.242460549762299</v>
      </c>
      <c r="AM25" s="11">
        <v>41.011373308942346</v>
      </c>
      <c r="AN25" s="11">
        <v>95.63130109076215</v>
      </c>
      <c r="AO25" s="11">
        <v>99.651005460078537</v>
      </c>
      <c r="AP25" s="11">
        <v>27.384625438825015</v>
      </c>
      <c r="AQ25" s="11">
        <v>32.987726911648039</v>
      </c>
      <c r="AR25" s="11">
        <v>73.749253832041475</v>
      </c>
      <c r="AS25" s="11">
        <v>14.28885202250102</v>
      </c>
      <c r="AT25" s="11">
        <v>82.573035006210333</v>
      </c>
      <c r="AU25" s="11">
        <v>46.835083137355227</v>
      </c>
      <c r="AV25" s="11">
        <v>21.369727153965755</v>
      </c>
      <c r="AW25" s="11">
        <v>51.978980989253486</v>
      </c>
      <c r="AX25" s="11">
        <v>2.3261619735350014</v>
      </c>
      <c r="AY25" s="11">
        <v>81.591706884703868</v>
      </c>
      <c r="AZ25" s="11">
        <v>98.135772847105272</v>
      </c>
      <c r="BA25" s="11">
        <v>28.07550193077595</v>
      </c>
      <c r="BB25" s="11">
        <v>25.301750299003988</v>
      </c>
      <c r="BC25" s="11">
        <v>30.110337556423406</v>
      </c>
      <c r="BD25" s="11">
        <v>72.978238333733842</v>
      </c>
      <c r="BE25" s="11">
        <v>41.791374754105036</v>
      </c>
    </row>
    <row r="26" spans="2:57" x14ac:dyDescent="0.3">
      <c r="B26" s="5">
        <v>2015</v>
      </c>
      <c r="C26" s="6" t="s">
        <v>44</v>
      </c>
      <c r="D26" s="6" t="s">
        <v>45</v>
      </c>
      <c r="E26" s="6" t="s">
        <v>136</v>
      </c>
      <c r="F26" s="10">
        <v>35.272172902772226</v>
      </c>
      <c r="G26" s="10">
        <v>73.942157374046246</v>
      </c>
      <c r="H26" s="10">
        <v>94.766264043723538</v>
      </c>
      <c r="I26" s="10">
        <v>60.281476503271612</v>
      </c>
      <c r="J26" s="10">
        <v>31.263454764526134</v>
      </c>
      <c r="K26" s="10">
        <v>24.48403482491387</v>
      </c>
      <c r="L26" s="10">
        <v>98.724346268716701</v>
      </c>
      <c r="M26" s="10">
        <v>92.950487054407787</v>
      </c>
      <c r="N26" s="10">
        <v>66.469585547900707</v>
      </c>
      <c r="O26" s="10">
        <v>66.42261169827934</v>
      </c>
      <c r="P26" s="10">
        <v>45.667220740708572</v>
      </c>
      <c r="Q26" s="10">
        <v>53.565909916885602</v>
      </c>
      <c r="R26" s="10">
        <v>56.906478879027219</v>
      </c>
      <c r="S26" s="10">
        <v>62.67026300731294</v>
      </c>
      <c r="T26" s="10">
        <v>81.882608620004376</v>
      </c>
      <c r="U26" s="10">
        <v>86.800962094667938</v>
      </c>
      <c r="V26" s="10">
        <v>83.667340445432458</v>
      </c>
      <c r="W26" s="10">
        <v>73.402234046199027</v>
      </c>
      <c r="X26" s="10">
        <v>14.745879707293907</v>
      </c>
      <c r="Y26" s="10">
        <v>19.531680298806165</v>
      </c>
      <c r="Z26" s="10">
        <v>76.345338196342539</v>
      </c>
      <c r="AA26" s="10">
        <v>90.063898835470894</v>
      </c>
      <c r="AB26" s="10">
        <v>20.7616934870005</v>
      </c>
      <c r="AC26" s="10">
        <v>60.959495755310513</v>
      </c>
      <c r="AD26" s="10">
        <v>97.272189905858966</v>
      </c>
      <c r="AE26" s="10">
        <v>69.341861379729949</v>
      </c>
      <c r="AF26" s="10">
        <v>61.343140977659814</v>
      </c>
      <c r="AG26" s="10">
        <v>1.3615876687342321</v>
      </c>
      <c r="AH26" s="10">
        <v>23.406738871977161</v>
      </c>
      <c r="AI26" s="10">
        <v>35.023350246618158</v>
      </c>
      <c r="AJ26" s="10">
        <v>27.503010852075029</v>
      </c>
      <c r="AK26" s="10">
        <v>48.480272318693686</v>
      </c>
      <c r="AL26" s="10">
        <v>12.889457853816976</v>
      </c>
      <c r="AM26" s="10">
        <v>39.707490588022957</v>
      </c>
      <c r="AN26" s="10">
        <v>87.751197698611335</v>
      </c>
      <c r="AO26" s="10">
        <v>55.492655119827624</v>
      </c>
      <c r="AP26" s="10">
        <v>63.647833008799395</v>
      </c>
      <c r="AQ26" s="10">
        <v>6.7015493675912863</v>
      </c>
      <c r="AR26" s="10">
        <v>68.665450678469711</v>
      </c>
      <c r="AS26" s="10">
        <v>80.283590398891278</v>
      </c>
      <c r="AT26" s="10">
        <v>15.357400513535946</v>
      </c>
      <c r="AU26" s="10">
        <v>0.43053267780386317</v>
      </c>
      <c r="AV26" s="10">
        <v>56.209247314878198</v>
      </c>
      <c r="AW26" s="10">
        <v>16.896607133491383</v>
      </c>
      <c r="AX26" s="10">
        <v>34.624561697314569</v>
      </c>
      <c r="AY26" s="10">
        <v>18.785443731163586</v>
      </c>
      <c r="AZ26" s="10">
        <v>84.214934729201303</v>
      </c>
      <c r="BA26" s="10">
        <v>48.706515956279695</v>
      </c>
      <c r="BB26" s="10">
        <v>94.718835198316427</v>
      </c>
      <c r="BC26" s="10">
        <v>43.449559020261162</v>
      </c>
      <c r="BD26" s="10">
        <v>21.163064054723101</v>
      </c>
      <c r="BE26" s="10">
        <v>28.58744561872405</v>
      </c>
    </row>
    <row r="27" spans="2:57" x14ac:dyDescent="0.3">
      <c r="B27" s="7">
        <v>2015</v>
      </c>
      <c r="C27" s="8" t="s">
        <v>46</v>
      </c>
      <c r="D27" s="8" t="s">
        <v>47</v>
      </c>
      <c r="E27" s="8" t="s">
        <v>137</v>
      </c>
      <c r="F27" s="11">
        <v>10.335636054642439</v>
      </c>
      <c r="G27" s="11">
        <v>96.340867212205936</v>
      </c>
      <c r="H27" s="11">
        <v>91.502459420975455</v>
      </c>
      <c r="I27" s="11">
        <v>48.159096756160103</v>
      </c>
      <c r="J27" s="11">
        <v>40.567210481801595</v>
      </c>
      <c r="K27" s="11">
        <v>55.758451629130747</v>
      </c>
      <c r="L27" s="11">
        <v>83.548575526238295</v>
      </c>
      <c r="M27" s="11">
        <v>16.893848049139127</v>
      </c>
      <c r="N27" s="11">
        <v>55.276153774622351</v>
      </c>
      <c r="O27" s="11">
        <v>61.081990256512285</v>
      </c>
      <c r="P27" s="11">
        <v>77.411939383098684</v>
      </c>
      <c r="Q27" s="11">
        <v>77.918760793587822</v>
      </c>
      <c r="R27" s="11">
        <v>81.218348021050801</v>
      </c>
      <c r="S27" s="11">
        <v>1.4758224860707325</v>
      </c>
      <c r="T27" s="11">
        <v>66.035304376073739</v>
      </c>
      <c r="U27" s="11">
        <v>83.781758394512863</v>
      </c>
      <c r="V27" s="11">
        <v>68.035838396684255</v>
      </c>
      <c r="W27" s="11">
        <v>40.385068951413359</v>
      </c>
      <c r="X27" s="11">
        <v>82.079502996030357</v>
      </c>
      <c r="Y27" s="11">
        <v>47.916295571552745</v>
      </c>
      <c r="Z27" s="11">
        <v>63.138879442970399</v>
      </c>
      <c r="AA27" s="11">
        <v>69.346789780069898</v>
      </c>
      <c r="AB27" s="11">
        <v>87.523358253340348</v>
      </c>
      <c r="AC27" s="11">
        <v>35.8185256698806</v>
      </c>
      <c r="AD27" s="11">
        <v>88.860608090230158</v>
      </c>
      <c r="AE27" s="11">
        <v>61.367417637303198</v>
      </c>
      <c r="AF27" s="11">
        <v>10.043724729713821</v>
      </c>
      <c r="AG27" s="11">
        <v>23.270060858399244</v>
      </c>
      <c r="AH27" s="11">
        <v>30.929079359544897</v>
      </c>
      <c r="AI27" s="11">
        <v>51.886157953228498</v>
      </c>
      <c r="AJ27" s="11">
        <v>79.075317314052867</v>
      </c>
      <c r="AK27" s="11">
        <v>78.381089392612807</v>
      </c>
      <c r="AL27" s="11">
        <v>35.066434725736372</v>
      </c>
      <c r="AM27" s="11">
        <v>11.21624654179001</v>
      </c>
      <c r="AN27" s="11">
        <v>74.114506401292374</v>
      </c>
      <c r="AO27" s="11">
        <v>54.923387139413734</v>
      </c>
      <c r="AP27" s="11">
        <v>49.800409458688733</v>
      </c>
      <c r="AQ27" s="11">
        <v>9.6454634765119618</v>
      </c>
      <c r="AR27" s="11">
        <v>15.886372487311951</v>
      </c>
      <c r="AS27" s="11">
        <v>54.487615053340974</v>
      </c>
      <c r="AT27" s="11">
        <v>97.748792418672878</v>
      </c>
      <c r="AU27" s="11">
        <v>96.075329794151628</v>
      </c>
      <c r="AV27" s="11">
        <v>69.794020851049169</v>
      </c>
      <c r="AW27" s="11">
        <v>88.297053207172056</v>
      </c>
      <c r="AX27" s="11">
        <v>84.327448510861132</v>
      </c>
      <c r="AY27" s="11">
        <v>56.701937539753935</v>
      </c>
      <c r="AZ27" s="11">
        <v>82.533047420822854</v>
      </c>
      <c r="BA27" s="11">
        <v>47.540803312670036</v>
      </c>
      <c r="BB27" s="11">
        <v>47.393400160443022</v>
      </c>
      <c r="BC27" s="11">
        <v>27.396842927746544</v>
      </c>
      <c r="BD27" s="11">
        <v>41.081115584147618</v>
      </c>
      <c r="BE27" s="11">
        <v>6.7878749302231149</v>
      </c>
    </row>
    <row r="28" spans="2:57" x14ac:dyDescent="0.3">
      <c r="B28" s="5">
        <v>2015</v>
      </c>
      <c r="C28" s="6" t="s">
        <v>48</v>
      </c>
      <c r="D28" s="6" t="s">
        <v>49</v>
      </c>
      <c r="E28" s="6" t="s">
        <v>138</v>
      </c>
      <c r="F28" s="10">
        <v>8.6324302845631635</v>
      </c>
      <c r="G28" s="10">
        <v>32.417998528658366</v>
      </c>
      <c r="H28" s="10">
        <v>76.948871794602852</v>
      </c>
      <c r="I28" s="10">
        <v>53.595211091541863</v>
      </c>
      <c r="J28" s="10">
        <v>19.307545648382764</v>
      </c>
      <c r="K28" s="10">
        <v>27.183847522666372</v>
      </c>
      <c r="L28" s="10">
        <v>59.176954153819395</v>
      </c>
      <c r="M28" s="10">
        <v>55.137752009821206</v>
      </c>
      <c r="N28" s="10">
        <v>42.00068474911216</v>
      </c>
      <c r="O28" s="10">
        <v>81.411904534232463</v>
      </c>
      <c r="P28" s="10">
        <v>63.599827579195242</v>
      </c>
      <c r="Q28" s="10">
        <v>61.323803071099327</v>
      </c>
      <c r="R28" s="10">
        <v>29.568134434146032</v>
      </c>
      <c r="S28" s="10">
        <v>3.0610849074981905</v>
      </c>
      <c r="T28" s="10">
        <v>76.804340218354909</v>
      </c>
      <c r="U28" s="10">
        <v>68.563335717619722</v>
      </c>
      <c r="V28" s="10">
        <v>24.636125442518551</v>
      </c>
      <c r="W28" s="10">
        <v>38.301558238451641</v>
      </c>
      <c r="X28" s="10">
        <v>34.46454807578818</v>
      </c>
      <c r="Y28" s="10">
        <v>72.450504488414452</v>
      </c>
      <c r="Z28" s="10">
        <v>78.052548112532875</v>
      </c>
      <c r="AA28" s="10">
        <v>18.189364311400357</v>
      </c>
      <c r="AB28" s="10">
        <v>89.97116862303956</v>
      </c>
      <c r="AC28" s="10">
        <v>40.507622160677371</v>
      </c>
      <c r="AD28" s="10">
        <v>56.687730990732497</v>
      </c>
      <c r="AE28" s="10">
        <v>76.923626937911393</v>
      </c>
      <c r="AF28" s="10">
        <v>37.403530684110173</v>
      </c>
      <c r="AG28" s="10">
        <v>68.715028222229847</v>
      </c>
      <c r="AH28" s="10">
        <v>59.655235690511567</v>
      </c>
      <c r="AI28" s="10">
        <v>39.793030551577679</v>
      </c>
      <c r="AJ28" s="10">
        <v>95.936074010874236</v>
      </c>
      <c r="AK28" s="10">
        <v>51.392628562049836</v>
      </c>
      <c r="AL28" s="10">
        <v>76.466327595685783</v>
      </c>
      <c r="AM28" s="10">
        <v>32.791990833654694</v>
      </c>
      <c r="AN28" s="10">
        <v>98.185638809635392</v>
      </c>
      <c r="AO28" s="10">
        <v>32.88489745783756</v>
      </c>
      <c r="AP28" s="10">
        <v>89.516468682298267</v>
      </c>
      <c r="AQ28" s="10">
        <v>11.655236959729621</v>
      </c>
      <c r="AR28" s="10">
        <v>63.539403567520694</v>
      </c>
      <c r="AS28" s="10">
        <v>9.2463879594333989</v>
      </c>
      <c r="AT28" s="10">
        <v>78.84082302736455</v>
      </c>
      <c r="AU28" s="10">
        <v>75.755249206709919</v>
      </c>
      <c r="AV28" s="10">
        <v>49.734383733600836</v>
      </c>
      <c r="AW28" s="10">
        <v>21.161934880488118</v>
      </c>
      <c r="AX28" s="10">
        <v>38.069061419466919</v>
      </c>
      <c r="AY28" s="10">
        <v>94.229000652426876</v>
      </c>
      <c r="AZ28" s="10">
        <v>41.882563189207985</v>
      </c>
      <c r="BA28" s="10">
        <v>70.788376810729275</v>
      </c>
      <c r="BB28" s="10">
        <v>91.588050273184479</v>
      </c>
      <c r="BC28" s="10">
        <v>20.103989913755193</v>
      </c>
      <c r="BD28" s="10">
        <v>60.809790064068537</v>
      </c>
      <c r="BE28" s="10">
        <v>56.71492649954223</v>
      </c>
    </row>
    <row r="29" spans="2:57" x14ac:dyDescent="0.3">
      <c r="B29" s="7">
        <v>2015</v>
      </c>
      <c r="C29" s="8" t="s">
        <v>50</v>
      </c>
      <c r="D29" s="8" t="s">
        <v>51</v>
      </c>
      <c r="E29" s="8" t="s">
        <v>139</v>
      </c>
      <c r="F29" s="11">
        <v>40.165592183892983</v>
      </c>
      <c r="G29" s="11">
        <v>68.80613672446087</v>
      </c>
      <c r="H29" s="11">
        <v>30.551621186135957</v>
      </c>
      <c r="I29" s="11">
        <v>25.531107091012128</v>
      </c>
      <c r="J29" s="11">
        <v>70.800066917490184</v>
      </c>
      <c r="K29" s="11">
        <v>25.099721074002112</v>
      </c>
      <c r="L29" s="11">
        <v>64.04404016473984</v>
      </c>
      <c r="M29" s="11">
        <v>9.3546944685031992</v>
      </c>
      <c r="N29" s="11">
        <v>98.942635496663513</v>
      </c>
      <c r="O29" s="11">
        <v>7.3185248740522351</v>
      </c>
      <c r="P29" s="11">
        <v>58.42522696193425</v>
      </c>
      <c r="Q29" s="11">
        <v>25.358924050986943</v>
      </c>
      <c r="R29" s="11">
        <v>21.581655158477432</v>
      </c>
      <c r="S29" s="11">
        <v>66.646889007387728</v>
      </c>
      <c r="T29" s="11">
        <v>16.05040251925951</v>
      </c>
      <c r="U29" s="11">
        <v>27.059652808067312</v>
      </c>
      <c r="V29" s="11">
        <v>70.419588439993746</v>
      </c>
      <c r="W29" s="11">
        <v>49.773513095456302</v>
      </c>
      <c r="X29" s="11">
        <v>52.838037667714367</v>
      </c>
      <c r="Y29" s="11">
        <v>47.683796776886979</v>
      </c>
      <c r="Z29" s="11">
        <v>73.676526807114257</v>
      </c>
      <c r="AA29" s="11">
        <v>26.562485467653008</v>
      </c>
      <c r="AB29" s="11">
        <v>85.403151873672869</v>
      </c>
      <c r="AC29" s="11">
        <v>29.508413539356649</v>
      </c>
      <c r="AD29" s="11">
        <v>62.647502910416883</v>
      </c>
      <c r="AE29" s="11">
        <v>29.699777672908169</v>
      </c>
      <c r="AF29" s="11">
        <v>68.75625540722865</v>
      </c>
      <c r="AG29" s="11">
        <v>90.281766702584193</v>
      </c>
      <c r="AH29" s="11">
        <v>80.03108343227386</v>
      </c>
      <c r="AI29" s="11">
        <v>98.710237262156994</v>
      </c>
      <c r="AJ29" s="11">
        <v>72.819488336930618</v>
      </c>
      <c r="AK29" s="11">
        <v>44.044516953563473</v>
      </c>
      <c r="AL29" s="11">
        <v>51.254651333617232</v>
      </c>
      <c r="AM29" s="11">
        <v>74.9695503173281</v>
      </c>
      <c r="AN29" s="11">
        <v>48.211750496784035</v>
      </c>
      <c r="AO29" s="11">
        <v>53.866816680003197</v>
      </c>
      <c r="AP29" s="11">
        <v>17.595347117577344</v>
      </c>
      <c r="AQ29" s="11">
        <v>15.065368898016029</v>
      </c>
      <c r="AR29" s="11">
        <v>72.828606993505289</v>
      </c>
      <c r="AS29" s="11">
        <v>95.219464478394684</v>
      </c>
      <c r="AT29" s="11">
        <v>79.786202553517498</v>
      </c>
      <c r="AU29" s="11">
        <v>79.264298713636862</v>
      </c>
      <c r="AV29" s="11">
        <v>43.779676902119306</v>
      </c>
      <c r="AW29" s="11">
        <v>51.73539638304814</v>
      </c>
      <c r="AX29" s="11">
        <v>48.261472955693783</v>
      </c>
      <c r="AY29" s="11">
        <v>16.716849870521333</v>
      </c>
      <c r="AZ29" s="11">
        <v>26.74277154120157</v>
      </c>
      <c r="BA29" s="11">
        <v>7.3957192809720791</v>
      </c>
      <c r="BB29" s="11">
        <v>5.63928735618342</v>
      </c>
      <c r="BC29" s="11">
        <v>1.4290564713826615</v>
      </c>
      <c r="BD29" s="11">
        <v>75.188969193420846</v>
      </c>
      <c r="BE29" s="11">
        <v>50.893006567430923</v>
      </c>
    </row>
    <row r="30" spans="2:57" x14ac:dyDescent="0.3">
      <c r="B30" s="5">
        <v>2015</v>
      </c>
      <c r="C30" s="6" t="s">
        <v>52</v>
      </c>
      <c r="D30" s="6" t="s">
        <v>53</v>
      </c>
      <c r="E30" s="6" t="s">
        <v>140</v>
      </c>
      <c r="F30" s="10">
        <v>32.835318315927339</v>
      </c>
      <c r="G30" s="10">
        <v>49.004366289551271</v>
      </c>
      <c r="H30" s="10">
        <v>27.534283531294957</v>
      </c>
      <c r="I30" s="10">
        <v>74.004897549999626</v>
      </c>
      <c r="J30" s="10">
        <v>23.706580596761807</v>
      </c>
      <c r="K30" s="10">
        <v>75.232876674800892</v>
      </c>
      <c r="L30" s="10">
        <v>7.3870926865011732</v>
      </c>
      <c r="M30" s="10">
        <v>71.064700227391455</v>
      </c>
      <c r="N30" s="10">
        <v>26.014439409134383</v>
      </c>
      <c r="O30" s="10">
        <v>53.450950887614532</v>
      </c>
      <c r="P30" s="10">
        <v>94.18747882406268</v>
      </c>
      <c r="Q30" s="10">
        <v>49.750633926735631</v>
      </c>
      <c r="R30" s="10">
        <v>68.232866298165121</v>
      </c>
      <c r="S30" s="10">
        <v>5.6691539128154727</v>
      </c>
      <c r="T30" s="10">
        <v>77.277062754636887</v>
      </c>
      <c r="U30" s="10">
        <v>73.154709045426017</v>
      </c>
      <c r="V30" s="10">
        <v>89.221997941027126</v>
      </c>
      <c r="W30" s="10">
        <v>96.52221884948645</v>
      </c>
      <c r="X30" s="10">
        <v>58.496969787849828</v>
      </c>
      <c r="Y30" s="10">
        <v>38.2473208044714</v>
      </c>
      <c r="Z30" s="10">
        <v>89.990668847713593</v>
      </c>
      <c r="AA30" s="10">
        <v>72.734146935684635</v>
      </c>
      <c r="AB30" s="10">
        <v>99.305316165506639</v>
      </c>
      <c r="AC30" s="10">
        <v>88.928477395351706</v>
      </c>
      <c r="AD30" s="10">
        <v>90.443626239673378</v>
      </c>
      <c r="AE30" s="10">
        <v>49.946940079923671</v>
      </c>
      <c r="AF30" s="10">
        <v>18.701282976911472</v>
      </c>
      <c r="AG30" s="10">
        <v>19.46121227019345</v>
      </c>
      <c r="AH30" s="10">
        <v>35.199520169274443</v>
      </c>
      <c r="AI30" s="10">
        <v>88.089018406831215</v>
      </c>
      <c r="AJ30" s="10">
        <v>11.666178728403874</v>
      </c>
      <c r="AK30" s="10">
        <v>92.702423268600796</v>
      </c>
      <c r="AL30" s="10">
        <v>97.968583734083722</v>
      </c>
      <c r="AM30" s="10">
        <v>92.69213807173287</v>
      </c>
      <c r="AN30" s="10">
        <v>76.351639789955129</v>
      </c>
      <c r="AO30" s="10">
        <v>99.271244411158207</v>
      </c>
      <c r="AP30" s="10">
        <v>4.187477166125575</v>
      </c>
      <c r="AQ30" s="10">
        <v>91.307722161205788</v>
      </c>
      <c r="AR30" s="10">
        <v>63.914183479979002</v>
      </c>
      <c r="AS30" s="10">
        <v>81.828970842208477</v>
      </c>
      <c r="AT30" s="10">
        <v>54.437401366767965</v>
      </c>
      <c r="AU30" s="10">
        <v>90.646995920498412</v>
      </c>
      <c r="AV30" s="10">
        <v>78.884558269986002</v>
      </c>
      <c r="AW30" s="10">
        <v>52.568250061740372</v>
      </c>
      <c r="AX30" s="10">
        <v>51.771239587212094</v>
      </c>
      <c r="AY30" s="10">
        <v>45.898139663728877</v>
      </c>
      <c r="AZ30" s="10">
        <v>14.82223857173145</v>
      </c>
      <c r="BA30" s="10">
        <v>50.946208040900352</v>
      </c>
      <c r="BB30" s="10">
        <v>1.563648528149808</v>
      </c>
      <c r="BC30" s="10">
        <v>1.7529158899291963</v>
      </c>
      <c r="BD30" s="10">
        <v>33.719539346108377</v>
      </c>
      <c r="BE30" s="10">
        <v>22.920323091358419</v>
      </c>
    </row>
    <row r="31" spans="2:57" x14ac:dyDescent="0.3">
      <c r="B31" s="7">
        <v>2015</v>
      </c>
      <c r="C31" s="8" t="s">
        <v>54</v>
      </c>
      <c r="D31" s="8" t="s">
        <v>55</v>
      </c>
      <c r="E31" s="8" t="s">
        <v>141</v>
      </c>
      <c r="F31" s="11">
        <v>55.493037931747594</v>
      </c>
      <c r="G31" s="11">
        <v>55.28643774367945</v>
      </c>
      <c r="H31" s="11">
        <v>75.914946164594255</v>
      </c>
      <c r="I31" s="11">
        <v>7.0083163575226699</v>
      </c>
      <c r="J31" s="11">
        <v>79.74598509151501</v>
      </c>
      <c r="K31" s="11">
        <v>17.360604345264854</v>
      </c>
      <c r="L31" s="11">
        <v>61.300597296540516</v>
      </c>
      <c r="M31" s="11">
        <v>36.350300960861169</v>
      </c>
      <c r="N31" s="11">
        <v>61.58559855444183</v>
      </c>
      <c r="O31" s="11">
        <v>82.045181316005383</v>
      </c>
      <c r="P31" s="11">
        <v>7.7333503033558459</v>
      </c>
      <c r="Q31" s="11">
        <v>17.788343242696069</v>
      </c>
      <c r="R31" s="11">
        <v>44.376867485447292</v>
      </c>
      <c r="S31" s="11">
        <v>65.166871683816893</v>
      </c>
      <c r="T31" s="11">
        <v>51.032225478059935</v>
      </c>
      <c r="U31" s="11">
        <v>36.917573609459573</v>
      </c>
      <c r="V31" s="11">
        <v>28.404921024781736</v>
      </c>
      <c r="W31" s="11">
        <v>64.915151405378069</v>
      </c>
      <c r="X31" s="11">
        <v>97.932952577639327</v>
      </c>
      <c r="Y31" s="11">
        <v>32.010878879987182</v>
      </c>
      <c r="Z31" s="11">
        <v>28.932117731950079</v>
      </c>
      <c r="AA31" s="11">
        <v>80.959365469670971</v>
      </c>
      <c r="AB31" s="11">
        <v>71.10728101992396</v>
      </c>
      <c r="AC31" s="11">
        <v>80.772652937656204</v>
      </c>
      <c r="AD31" s="11">
        <v>12.493553410359926</v>
      </c>
      <c r="AE31" s="11">
        <v>5.8781880912488482</v>
      </c>
      <c r="AF31" s="11">
        <v>61.468234341660555</v>
      </c>
      <c r="AG31" s="11">
        <v>63.539572157172309</v>
      </c>
      <c r="AH31" s="11">
        <v>42.479096923305235</v>
      </c>
      <c r="AI31" s="11">
        <v>31.12753040393692</v>
      </c>
      <c r="AJ31" s="11">
        <v>46.495039800580251</v>
      </c>
      <c r="AK31" s="11">
        <v>57.536352651399028</v>
      </c>
      <c r="AL31" s="11">
        <v>15.629180733497982</v>
      </c>
      <c r="AM31" s="11">
        <v>69.278877777603782</v>
      </c>
      <c r="AN31" s="11">
        <v>12.573257908841107</v>
      </c>
      <c r="AO31" s="11">
        <v>19.918283331784302</v>
      </c>
      <c r="AP31" s="11">
        <v>95.747336871252813</v>
      </c>
      <c r="AQ31" s="11">
        <v>54.756091531264218</v>
      </c>
      <c r="AR31" s="11">
        <v>18.56958949957923</v>
      </c>
      <c r="AS31" s="11">
        <v>70.074328301225407</v>
      </c>
      <c r="AT31" s="11">
        <v>3.8554440157043124</v>
      </c>
      <c r="AU31" s="11">
        <v>33.614304098797106</v>
      </c>
      <c r="AV31" s="11">
        <v>13.683430760164972</v>
      </c>
      <c r="AW31" s="11">
        <v>58.497518139186219</v>
      </c>
      <c r="AX31" s="11">
        <v>88.784633462506008</v>
      </c>
      <c r="AY31" s="11">
        <v>15.383229170394753</v>
      </c>
      <c r="AZ31" s="11">
        <v>74.44612674216188</v>
      </c>
      <c r="BA31" s="11">
        <v>30.500636146596506</v>
      </c>
      <c r="BB31" s="11">
        <v>42.574461965277379</v>
      </c>
      <c r="BC31" s="11">
        <v>91.766590058485022</v>
      </c>
      <c r="BD31" s="11">
        <v>31.17406422489951</v>
      </c>
      <c r="BE31" s="11">
        <v>69.33175138924598</v>
      </c>
    </row>
    <row r="32" spans="2:57" x14ac:dyDescent="0.3">
      <c r="B32" s="5">
        <v>2015</v>
      </c>
      <c r="C32" s="6" t="s">
        <v>56</v>
      </c>
      <c r="D32" s="6" t="s">
        <v>57</v>
      </c>
      <c r="E32" s="6" t="s">
        <v>142</v>
      </c>
      <c r="F32" s="10">
        <v>25.037139187418976</v>
      </c>
      <c r="G32" s="10">
        <v>53.621318993513178</v>
      </c>
      <c r="H32" s="10">
        <v>62.774379103981524</v>
      </c>
      <c r="I32" s="10">
        <v>96.695746399815846</v>
      </c>
      <c r="J32" s="10">
        <v>55.853036123888103</v>
      </c>
      <c r="K32" s="10">
        <v>34.498373218329291</v>
      </c>
      <c r="L32" s="10">
        <v>83.154567069189085</v>
      </c>
      <c r="M32" s="10">
        <v>80.123369130054783</v>
      </c>
      <c r="N32" s="10">
        <v>80.426394431816533</v>
      </c>
      <c r="O32" s="10">
        <v>26.79538194748049</v>
      </c>
      <c r="P32" s="10">
        <v>55.988502893376435</v>
      </c>
      <c r="Q32" s="10">
        <v>94.964576038577462</v>
      </c>
      <c r="R32" s="10">
        <v>90.068878213548189</v>
      </c>
      <c r="S32" s="10">
        <v>53.949499204225319</v>
      </c>
      <c r="T32" s="10">
        <v>24.028428513511145</v>
      </c>
      <c r="U32" s="10">
        <v>37.265544256058448</v>
      </c>
      <c r="V32" s="10">
        <v>87.021822455839484</v>
      </c>
      <c r="W32" s="10">
        <v>49.921514755918807</v>
      </c>
      <c r="X32" s="10">
        <v>37.021326793731355</v>
      </c>
      <c r="Y32" s="10">
        <v>90.812170124111546</v>
      </c>
      <c r="Z32" s="10">
        <v>3.6471679699021764</v>
      </c>
      <c r="AA32" s="10">
        <v>9.8384516593510227</v>
      </c>
      <c r="AB32" s="10">
        <v>72.690992838662609</v>
      </c>
      <c r="AC32" s="10">
        <v>75.211229246938828</v>
      </c>
      <c r="AD32" s="10">
        <v>53.17363594798379</v>
      </c>
      <c r="AE32" s="10">
        <v>19.477659956034842</v>
      </c>
      <c r="AF32" s="10">
        <v>91.164063541332595</v>
      </c>
      <c r="AG32" s="10">
        <v>54.340697990467987</v>
      </c>
      <c r="AH32" s="10">
        <v>84.887831964551367</v>
      </c>
      <c r="AI32" s="10">
        <v>10.82841459617595</v>
      </c>
      <c r="AJ32" s="10">
        <v>68.323943054297729</v>
      </c>
      <c r="AK32" s="10">
        <v>93.386360054871034</v>
      </c>
      <c r="AL32" s="10">
        <v>24.933028304427229</v>
      </c>
      <c r="AM32" s="10">
        <v>0.79189985789412942</v>
      </c>
      <c r="AN32" s="10">
        <v>27.399016045449876</v>
      </c>
      <c r="AO32" s="10">
        <v>59.629856602710603</v>
      </c>
      <c r="AP32" s="10">
        <v>19.901021030833764</v>
      </c>
      <c r="AQ32" s="10">
        <v>82.247943584250706</v>
      </c>
      <c r="AR32" s="10">
        <v>75.437821131993871</v>
      </c>
      <c r="AS32" s="10">
        <v>59.321505814404674</v>
      </c>
      <c r="AT32" s="10">
        <v>60.66242072408351</v>
      </c>
      <c r="AU32" s="10">
        <v>27.737940160513052</v>
      </c>
      <c r="AV32" s="10">
        <v>87.733119329483188</v>
      </c>
      <c r="AW32" s="10">
        <v>81.958095687453991</v>
      </c>
      <c r="AX32" s="10">
        <v>55.350257360673027</v>
      </c>
      <c r="AY32" s="10">
        <v>67.139409509498421</v>
      </c>
      <c r="AZ32" s="10">
        <v>45.427925283226521</v>
      </c>
      <c r="BA32" s="10">
        <v>89.171219886163655</v>
      </c>
      <c r="BB32" s="10">
        <v>82.875261139350059</v>
      </c>
      <c r="BC32" s="10">
        <v>71.485534051216675</v>
      </c>
      <c r="BD32" s="10">
        <v>95.625232716407311</v>
      </c>
      <c r="BE32" s="10">
        <v>25.40447388456295</v>
      </c>
    </row>
    <row r="33" spans="2:57" x14ac:dyDescent="0.3">
      <c r="B33" s="7">
        <v>2015</v>
      </c>
      <c r="C33" s="8" t="s">
        <v>58</v>
      </c>
      <c r="D33" s="8" t="s">
        <v>59</v>
      </c>
      <c r="E33" s="8" t="s">
        <v>143</v>
      </c>
      <c r="F33" s="11">
        <v>11.325495028858946</v>
      </c>
      <c r="G33" s="11">
        <v>69.406211724237963</v>
      </c>
      <c r="H33" s="11">
        <v>73.113258970252787</v>
      </c>
      <c r="I33" s="11">
        <v>29.793041353495088</v>
      </c>
      <c r="J33" s="11">
        <v>61.136759947896124</v>
      </c>
      <c r="K33" s="11">
        <v>56.867323054993868</v>
      </c>
      <c r="L33" s="11">
        <v>83.333756153873196</v>
      </c>
      <c r="M33" s="11">
        <v>25.121255423333711</v>
      </c>
      <c r="N33" s="11">
        <v>44.219885227327651</v>
      </c>
      <c r="O33" s="11">
        <v>55.987415742445947</v>
      </c>
      <c r="P33" s="11">
        <v>27.317512201547402</v>
      </c>
      <c r="Q33" s="11">
        <v>50.461194280248655</v>
      </c>
      <c r="R33" s="11">
        <v>86.502626324992747</v>
      </c>
      <c r="S33" s="11">
        <v>67.18893897170669</v>
      </c>
      <c r="T33" s="11">
        <v>30.283808032982961</v>
      </c>
      <c r="U33" s="11">
        <v>93.395876613133353</v>
      </c>
      <c r="V33" s="11">
        <v>54.704070420188785</v>
      </c>
      <c r="W33" s="11">
        <v>10.158008231107619</v>
      </c>
      <c r="X33" s="11">
        <v>18.21820472761987</v>
      </c>
      <c r="Y33" s="11">
        <v>47.148871340301604</v>
      </c>
      <c r="Z33" s="11">
        <v>76.962882842598873</v>
      </c>
      <c r="AA33" s="11">
        <v>71.006196549567179</v>
      </c>
      <c r="AB33" s="11">
        <v>45.582798088927667</v>
      </c>
      <c r="AC33" s="11">
        <v>45.449224859800012</v>
      </c>
      <c r="AD33" s="11">
        <v>4.8566650786900372</v>
      </c>
      <c r="AE33" s="11">
        <v>97.862699425941415</v>
      </c>
      <c r="AF33" s="11">
        <v>38.666091804150518</v>
      </c>
      <c r="AG33" s="11">
        <v>11.840835767011615</v>
      </c>
      <c r="AH33" s="11">
        <v>22.497998819964383</v>
      </c>
      <c r="AI33" s="11">
        <v>14.668588834200957</v>
      </c>
      <c r="AJ33" s="11">
        <v>93.147512489268635</v>
      </c>
      <c r="AK33" s="11">
        <v>62.211443046014082</v>
      </c>
      <c r="AL33" s="11">
        <v>24.488684230408985</v>
      </c>
      <c r="AM33" s="11">
        <v>46.335809583989921</v>
      </c>
      <c r="AN33" s="11">
        <v>57.014333984006136</v>
      </c>
      <c r="AO33" s="11">
        <v>65.651107430496396</v>
      </c>
      <c r="AP33" s="11">
        <v>30.721689676380105</v>
      </c>
      <c r="AQ33" s="11">
        <v>79.229203766992384</v>
      </c>
      <c r="AR33" s="11">
        <v>88.611372242638325</v>
      </c>
      <c r="AS33" s="11">
        <v>88.648326941522072</v>
      </c>
      <c r="AT33" s="11">
        <v>92.03456471684423</v>
      </c>
      <c r="AU33" s="11">
        <v>66.574721104609736</v>
      </c>
      <c r="AV33" s="11">
        <v>94.453714255868576</v>
      </c>
      <c r="AW33" s="11">
        <v>54.33569804844177</v>
      </c>
      <c r="AX33" s="11">
        <v>67.356174083293766</v>
      </c>
      <c r="AY33" s="11">
        <v>82.601668588879832</v>
      </c>
      <c r="AZ33" s="11">
        <v>28.081222615051015</v>
      </c>
      <c r="BA33" s="11">
        <v>2.3811267068555741</v>
      </c>
      <c r="BB33" s="11">
        <v>30.789652306243699</v>
      </c>
      <c r="BC33" s="11">
        <v>11.438571997149705</v>
      </c>
      <c r="BD33" s="11">
        <v>49.597722088218902</v>
      </c>
      <c r="BE33" s="11">
        <v>70.407470393741704</v>
      </c>
    </row>
    <row r="34" spans="2:57" x14ac:dyDescent="0.3">
      <c r="B34" s="5">
        <v>2015</v>
      </c>
      <c r="C34" s="6" t="s">
        <v>60</v>
      </c>
      <c r="D34" s="6" t="s">
        <v>61</v>
      </c>
      <c r="E34" s="6" t="s">
        <v>144</v>
      </c>
      <c r="F34" s="10">
        <v>30.776493856627262</v>
      </c>
      <c r="G34" s="10">
        <v>14.575513232862969</v>
      </c>
      <c r="H34" s="10">
        <v>15.190936800039712</v>
      </c>
      <c r="I34" s="10">
        <v>17.074221039200555</v>
      </c>
      <c r="J34" s="10">
        <v>40.501649300764853</v>
      </c>
      <c r="K34" s="10">
        <v>99.879102640260015</v>
      </c>
      <c r="L34" s="10">
        <v>12.94483989458155</v>
      </c>
      <c r="M34" s="10">
        <v>70.173049433647364</v>
      </c>
      <c r="N34" s="10">
        <v>94.879223890780978</v>
      </c>
      <c r="O34" s="10">
        <v>69.182673938920615</v>
      </c>
      <c r="P34" s="10">
        <v>2.7980284560990665</v>
      </c>
      <c r="Q34" s="10">
        <v>45.381212392826207</v>
      </c>
      <c r="R34" s="10">
        <v>65.908966465353146</v>
      </c>
      <c r="S34" s="10">
        <v>81.438769026673157</v>
      </c>
      <c r="T34" s="10">
        <v>45.798111775779851</v>
      </c>
      <c r="U34" s="10">
        <v>28.831844614560829</v>
      </c>
      <c r="V34" s="10">
        <v>30.345203215581009</v>
      </c>
      <c r="W34" s="10">
        <v>84.842315460467162</v>
      </c>
      <c r="X34" s="10">
        <v>70.271724844266032</v>
      </c>
      <c r="Y34" s="10">
        <v>91.198911772396571</v>
      </c>
      <c r="Z34" s="10">
        <v>49.085095472629646</v>
      </c>
      <c r="AA34" s="10">
        <v>13.789414298794544</v>
      </c>
      <c r="AB34" s="10">
        <v>77.598561915480417</v>
      </c>
      <c r="AC34" s="10">
        <v>73.613203652970199</v>
      </c>
      <c r="AD34" s="10">
        <v>63.320249449053243</v>
      </c>
      <c r="AE34" s="10">
        <v>68.034937784198377</v>
      </c>
      <c r="AF34" s="10">
        <v>12.022092424380237</v>
      </c>
      <c r="AG34" s="10">
        <v>19.530388593002534</v>
      </c>
      <c r="AH34" s="10">
        <v>56.998773407256742</v>
      </c>
      <c r="AI34" s="10">
        <v>10.020270181014634</v>
      </c>
      <c r="AJ34" s="10">
        <v>1.4922110442025183</v>
      </c>
      <c r="AK34" s="10">
        <v>60.749459965668137</v>
      </c>
      <c r="AL34" s="10">
        <v>26.116805136250289</v>
      </c>
      <c r="AM34" s="10">
        <v>79.161825332284181</v>
      </c>
      <c r="AN34" s="10">
        <v>14.588230189901275</v>
      </c>
      <c r="AO34" s="10">
        <v>46.219459481839699</v>
      </c>
      <c r="AP34" s="10">
        <v>91.790265795196788</v>
      </c>
      <c r="AQ34" s="10">
        <v>65.416442521699352</v>
      </c>
      <c r="AR34" s="10">
        <v>20.78555979052895</v>
      </c>
      <c r="AS34" s="10">
        <v>42.029780407345172</v>
      </c>
      <c r="AT34" s="10">
        <v>60.515826982717243</v>
      </c>
      <c r="AU34" s="10">
        <v>90.113732077301506</v>
      </c>
      <c r="AV34" s="10">
        <v>69.148611800552601</v>
      </c>
      <c r="AW34" s="10">
        <v>0.47544313911770386</v>
      </c>
      <c r="AX34" s="10">
        <v>59.151468104204952</v>
      </c>
      <c r="AY34" s="10">
        <v>57.756775943172741</v>
      </c>
      <c r="AZ34" s="10">
        <v>65.969526800345108</v>
      </c>
      <c r="BA34" s="10">
        <v>29.288269447325611</v>
      </c>
      <c r="BB34" s="10">
        <v>36.852950318717248</v>
      </c>
      <c r="BC34" s="10">
        <v>12.454504691207823</v>
      </c>
      <c r="BD34" s="10">
        <v>4.3317634015737072</v>
      </c>
      <c r="BE34" s="10">
        <v>60.263457284281465</v>
      </c>
    </row>
    <row r="35" spans="2:57" x14ac:dyDescent="0.3">
      <c r="B35" s="7">
        <v>2015</v>
      </c>
      <c r="C35" s="8" t="s">
        <v>62</v>
      </c>
      <c r="D35" s="8" t="s">
        <v>63</v>
      </c>
      <c r="E35" s="8" t="s">
        <v>145</v>
      </c>
      <c r="F35" s="11">
        <v>80.602396059585033</v>
      </c>
      <c r="G35" s="11">
        <v>28.972998179947041</v>
      </c>
      <c r="H35" s="11">
        <v>68.256264096856384</v>
      </c>
      <c r="I35" s="11">
        <v>97.104050789293453</v>
      </c>
      <c r="J35" s="11">
        <v>65.683140454573035</v>
      </c>
      <c r="K35" s="11">
        <v>83.709996820076938</v>
      </c>
      <c r="L35" s="11">
        <v>6.4821444832549151</v>
      </c>
      <c r="M35" s="11">
        <v>53.625999165077218</v>
      </c>
      <c r="N35" s="11">
        <v>49.059976969356946</v>
      </c>
      <c r="O35" s="11">
        <v>10.211659596370104</v>
      </c>
      <c r="P35" s="11">
        <v>98.716760824397468</v>
      </c>
      <c r="Q35" s="11">
        <v>65.500293618451323</v>
      </c>
      <c r="R35" s="11">
        <v>95.877304595880346</v>
      </c>
      <c r="S35" s="11">
        <v>26.675713950065237</v>
      </c>
      <c r="T35" s="11">
        <v>7.6289836527832282</v>
      </c>
      <c r="U35" s="11">
        <v>62.655676379631188</v>
      </c>
      <c r="V35" s="11">
        <v>90.331099925361997</v>
      </c>
      <c r="W35" s="11">
        <v>44.337701605383948</v>
      </c>
      <c r="X35" s="11">
        <v>92.088460138359324</v>
      </c>
      <c r="Y35" s="11">
        <v>77.971220723374685</v>
      </c>
      <c r="Z35" s="11">
        <v>78.364465294452785</v>
      </c>
      <c r="AA35" s="11">
        <v>47.182453864014498</v>
      </c>
      <c r="AB35" s="11">
        <v>71.857000590300473</v>
      </c>
      <c r="AC35" s="11">
        <v>41.06930920951438</v>
      </c>
      <c r="AD35" s="11">
        <v>93.043428198243532</v>
      </c>
      <c r="AE35" s="11">
        <v>15.903187832011811</v>
      </c>
      <c r="AF35" s="11">
        <v>27.400426665126453</v>
      </c>
      <c r="AG35" s="11">
        <v>49.021386797271873</v>
      </c>
      <c r="AH35" s="11">
        <v>51.815408235256754</v>
      </c>
      <c r="AI35" s="11">
        <v>77.171855395992637</v>
      </c>
      <c r="AJ35" s="11">
        <v>6.1143123579460834</v>
      </c>
      <c r="AK35" s="11">
        <v>86.903017976394395</v>
      </c>
      <c r="AL35" s="11">
        <v>35.893413771747632</v>
      </c>
      <c r="AM35" s="11">
        <v>81.218304417233327</v>
      </c>
      <c r="AN35" s="11">
        <v>76.47129391132529</v>
      </c>
      <c r="AO35" s="11">
        <v>15.128782538610741</v>
      </c>
      <c r="AP35" s="11">
        <v>80.456260153826449</v>
      </c>
      <c r="AQ35" s="11">
        <v>80.346274862940035</v>
      </c>
      <c r="AR35" s="11">
        <v>4.5459188604398681</v>
      </c>
      <c r="AS35" s="11">
        <v>23.716662624881536</v>
      </c>
      <c r="AT35" s="11">
        <v>8.8525794503135913</v>
      </c>
      <c r="AU35" s="11">
        <v>65.029876336418894</v>
      </c>
      <c r="AV35" s="11">
        <v>45.176278053665186</v>
      </c>
      <c r="AW35" s="11">
        <v>0.71812124229201357</v>
      </c>
      <c r="AX35" s="11">
        <v>66.755395305117531</v>
      </c>
      <c r="AY35" s="11">
        <v>46.466304249084558</v>
      </c>
      <c r="AZ35" s="11">
        <v>46.881245891794642</v>
      </c>
      <c r="BA35" s="11">
        <v>92.346701558401392</v>
      </c>
      <c r="BB35" s="11">
        <v>68.073616362274706</v>
      </c>
      <c r="BC35" s="11">
        <v>24.176126171867473</v>
      </c>
      <c r="BD35" s="11">
        <v>52.320376509025181</v>
      </c>
      <c r="BE35" s="11">
        <v>38.385958413994018</v>
      </c>
    </row>
    <row r="36" spans="2:57" x14ac:dyDescent="0.3">
      <c r="B36" s="5">
        <v>2015</v>
      </c>
      <c r="C36" s="6" t="s">
        <v>64</v>
      </c>
      <c r="D36" s="6" t="s">
        <v>65</v>
      </c>
      <c r="E36" s="6" t="s">
        <v>146</v>
      </c>
      <c r="F36" s="10">
        <v>43.639684185094751</v>
      </c>
      <c r="G36" s="10">
        <v>37.561036124210624</v>
      </c>
      <c r="H36" s="10">
        <v>43.580949017865599</v>
      </c>
      <c r="I36" s="10">
        <v>31.10611483236061</v>
      </c>
      <c r="J36" s="10">
        <v>25.24741386133703</v>
      </c>
      <c r="K36" s="10">
        <v>72.026389214612607</v>
      </c>
      <c r="L36" s="10">
        <v>49.664090536452775</v>
      </c>
      <c r="M36" s="10">
        <v>87.754169262595354</v>
      </c>
      <c r="N36" s="10">
        <v>47.918371160841154</v>
      </c>
      <c r="O36" s="10">
        <v>9.0038087271896661</v>
      </c>
      <c r="P36" s="10">
        <v>90.307320769938798</v>
      </c>
      <c r="Q36" s="10">
        <v>85.712213212698046</v>
      </c>
      <c r="R36" s="10">
        <v>31.041369813343433</v>
      </c>
      <c r="S36" s="10">
        <v>74.285356282419315</v>
      </c>
      <c r="T36" s="10">
        <v>64.708570322655305</v>
      </c>
      <c r="U36" s="10">
        <v>68.139438864210049</v>
      </c>
      <c r="V36" s="10">
        <v>46.150929140142559</v>
      </c>
      <c r="W36" s="10">
        <v>31.730187733932112</v>
      </c>
      <c r="X36" s="10">
        <v>60.917308342341528</v>
      </c>
      <c r="Y36" s="10">
        <v>65.135265083907498</v>
      </c>
      <c r="Z36" s="10">
        <v>84.689286449706628</v>
      </c>
      <c r="AA36" s="10">
        <v>68.596083968397153</v>
      </c>
      <c r="AB36" s="10">
        <v>88.872873897857389</v>
      </c>
      <c r="AC36" s="10">
        <v>30.93232146495253</v>
      </c>
      <c r="AD36" s="10">
        <v>3.501167171500108</v>
      </c>
      <c r="AE36" s="10">
        <v>11.256956004065611</v>
      </c>
      <c r="AF36" s="10">
        <v>35.294252298232543</v>
      </c>
      <c r="AG36" s="10">
        <v>99.937294133582739</v>
      </c>
      <c r="AH36" s="10">
        <v>99.858858094250451</v>
      </c>
      <c r="AI36" s="10">
        <v>1.5380102315600941</v>
      </c>
      <c r="AJ36" s="10">
        <v>72.62370964527581</v>
      </c>
      <c r="AK36" s="10">
        <v>40.668630325255251</v>
      </c>
      <c r="AL36" s="10">
        <v>62.11947147269079</v>
      </c>
      <c r="AM36" s="10">
        <v>74.596856949538491</v>
      </c>
      <c r="AN36" s="10">
        <v>71.844918847907906</v>
      </c>
      <c r="AO36" s="10">
        <v>12.854393370708683</v>
      </c>
      <c r="AP36" s="10">
        <v>55.413568447779873</v>
      </c>
      <c r="AQ36" s="10">
        <v>25.563406436259349</v>
      </c>
      <c r="AR36" s="10">
        <v>5.5942119680933651</v>
      </c>
      <c r="AS36" s="10">
        <v>26.379596205354318</v>
      </c>
      <c r="AT36" s="10">
        <v>73.367831454075855</v>
      </c>
      <c r="AU36" s="10">
        <v>14.742425391562575</v>
      </c>
      <c r="AV36" s="10">
        <v>67.977478760885774</v>
      </c>
      <c r="AW36" s="10">
        <v>14.55424212966161</v>
      </c>
      <c r="AX36" s="10">
        <v>86.22772352686134</v>
      </c>
      <c r="AY36" s="10">
        <v>19.610279939918239</v>
      </c>
      <c r="AZ36" s="10">
        <v>70.053061526829126</v>
      </c>
      <c r="BA36" s="10">
        <v>36.025881602820455</v>
      </c>
      <c r="BB36" s="10">
        <v>99.70522040789605</v>
      </c>
      <c r="BC36" s="10">
        <v>93.18183053003844</v>
      </c>
      <c r="BD36" s="10">
        <v>41.751176140702128</v>
      </c>
      <c r="BE36" s="10">
        <v>40.931220650207869</v>
      </c>
    </row>
    <row r="37" spans="2:57" x14ac:dyDescent="0.3">
      <c r="B37" s="7">
        <v>2015</v>
      </c>
      <c r="C37" s="8" t="s">
        <v>66</v>
      </c>
      <c r="D37" s="8" t="s">
        <v>67</v>
      </c>
      <c r="E37" s="8" t="s">
        <v>147</v>
      </c>
      <c r="F37" s="11">
        <v>55.884826399400225</v>
      </c>
      <c r="G37" s="11">
        <v>85.603265807695749</v>
      </c>
      <c r="H37" s="11">
        <v>41.907068331170514</v>
      </c>
      <c r="I37" s="11">
        <v>90.302898515978328</v>
      </c>
      <c r="J37" s="11">
        <v>84.404116125798112</v>
      </c>
      <c r="K37" s="11">
        <v>85.469951488558465</v>
      </c>
      <c r="L37" s="11">
        <v>3.8272201533133376</v>
      </c>
      <c r="M37" s="11">
        <v>8.4110292401828204</v>
      </c>
      <c r="N37" s="11">
        <v>48.667009875880062</v>
      </c>
      <c r="O37" s="11">
        <v>84.363785205026261</v>
      </c>
      <c r="P37" s="11">
        <v>40.898146484804151</v>
      </c>
      <c r="Q37" s="11">
        <v>50.541913197371159</v>
      </c>
      <c r="R37" s="11">
        <v>2.463099977202643</v>
      </c>
      <c r="S37" s="11">
        <v>63.345608441083066</v>
      </c>
      <c r="T37" s="11">
        <v>91.092218099144603</v>
      </c>
      <c r="U37" s="11">
        <v>91.161694991484197</v>
      </c>
      <c r="V37" s="11">
        <v>53.707589573553363</v>
      </c>
      <c r="W37" s="11">
        <v>11.962296016893747</v>
      </c>
      <c r="X37" s="11">
        <v>49.649325390588082</v>
      </c>
      <c r="Y37" s="11">
        <v>68.750798701077301</v>
      </c>
      <c r="Z37" s="11">
        <v>10.177570368404387</v>
      </c>
      <c r="AA37" s="11">
        <v>35.049794318858844</v>
      </c>
      <c r="AB37" s="11">
        <v>16.070802237954929</v>
      </c>
      <c r="AC37" s="11">
        <v>53.877732207156882</v>
      </c>
      <c r="AD37" s="11">
        <v>9.7837967361698031</v>
      </c>
      <c r="AE37" s="11">
        <v>48.765226601954893</v>
      </c>
      <c r="AF37" s="11">
        <v>34.85944355558145</v>
      </c>
      <c r="AG37" s="11">
        <v>51.790768415647563</v>
      </c>
      <c r="AH37" s="11">
        <v>35.165245067695409</v>
      </c>
      <c r="AI37" s="11">
        <v>61.954300564203315</v>
      </c>
      <c r="AJ37" s="11">
        <v>16.939804663988657</v>
      </c>
      <c r="AK37" s="11">
        <v>28.274850435801135</v>
      </c>
      <c r="AL37" s="11">
        <v>63.028924675929233</v>
      </c>
      <c r="AM37" s="11">
        <v>3.803723819095306</v>
      </c>
      <c r="AN37" s="11">
        <v>69.291178624939718</v>
      </c>
      <c r="AO37" s="11">
        <v>14.130251678797045</v>
      </c>
      <c r="AP37" s="11">
        <v>72.299117977970567</v>
      </c>
      <c r="AQ37" s="11">
        <v>48.828037633104429</v>
      </c>
      <c r="AR37" s="11">
        <v>16.944034778017247</v>
      </c>
      <c r="AS37" s="11">
        <v>18.520926939559846</v>
      </c>
      <c r="AT37" s="11">
        <v>31.746481168710673</v>
      </c>
      <c r="AU37" s="11">
        <v>51.98967741178452</v>
      </c>
      <c r="AV37" s="11">
        <v>81.189149697764961</v>
      </c>
      <c r="AW37" s="11">
        <v>74.430364044531032</v>
      </c>
      <c r="AX37" s="11">
        <v>32.659183401149292</v>
      </c>
      <c r="AY37" s="11">
        <v>7.5114583456193156</v>
      </c>
      <c r="AZ37" s="11">
        <v>85.99168888528655</v>
      </c>
      <c r="BA37" s="11">
        <v>75.526431334587159</v>
      </c>
      <c r="BB37" s="11">
        <v>20.629527954792238</v>
      </c>
      <c r="BC37" s="11">
        <v>33.752826246315607</v>
      </c>
      <c r="BD37" s="11">
        <v>25.389110708421125</v>
      </c>
      <c r="BE37" s="11">
        <v>46.142259375031855</v>
      </c>
    </row>
    <row r="38" spans="2:57" x14ac:dyDescent="0.3">
      <c r="B38" s="5">
        <v>2015</v>
      </c>
      <c r="C38" s="6" t="s">
        <v>68</v>
      </c>
      <c r="D38" s="6" t="s">
        <v>69</v>
      </c>
      <c r="E38" s="6" t="s">
        <v>148</v>
      </c>
      <c r="F38" s="10">
        <v>78.044923121766558</v>
      </c>
      <c r="G38" s="10">
        <v>35.755561824288243</v>
      </c>
      <c r="H38" s="10">
        <v>44.859588591271205</v>
      </c>
      <c r="I38" s="10">
        <v>75.65295789916803</v>
      </c>
      <c r="J38" s="10">
        <v>26.231915104722159</v>
      </c>
      <c r="K38" s="10">
        <v>79.010158419279264</v>
      </c>
      <c r="L38" s="10">
        <v>43.099708209906915</v>
      </c>
      <c r="M38" s="10">
        <v>83.280210242058288</v>
      </c>
      <c r="N38" s="10">
        <v>9.9538573800189702</v>
      </c>
      <c r="O38" s="10">
        <v>18.510283201863952</v>
      </c>
      <c r="P38" s="10">
        <v>2.5449784599331449</v>
      </c>
      <c r="Q38" s="10">
        <v>24.003234725921409</v>
      </c>
      <c r="R38" s="10">
        <v>77.160150946612262</v>
      </c>
      <c r="S38" s="10">
        <v>88.699812469571043</v>
      </c>
      <c r="T38" s="10">
        <v>76.832732946470614</v>
      </c>
      <c r="U38" s="10">
        <v>20.084448840235602</v>
      </c>
      <c r="V38" s="10">
        <v>26.0094252860555</v>
      </c>
      <c r="W38" s="10">
        <v>12.376392077417886</v>
      </c>
      <c r="X38" s="10">
        <v>35.524877382920813</v>
      </c>
      <c r="Y38" s="10">
        <v>93.521948786392699</v>
      </c>
      <c r="Z38" s="10">
        <v>4.4876456149929851</v>
      </c>
      <c r="AA38" s="10">
        <v>58.55132573213875</v>
      </c>
      <c r="AB38" s="10">
        <v>26.889560925043032</v>
      </c>
      <c r="AC38" s="10">
        <v>41.963549358685015</v>
      </c>
      <c r="AD38" s="10">
        <v>11.099604403165097</v>
      </c>
      <c r="AE38" s="10">
        <v>33.178074478521225</v>
      </c>
      <c r="AF38" s="10">
        <v>58.154336565162957</v>
      </c>
      <c r="AG38" s="10">
        <v>53.044059012304146</v>
      </c>
      <c r="AH38" s="10">
        <v>39.487420345968808</v>
      </c>
      <c r="AI38" s="10">
        <v>37.256013626257378</v>
      </c>
      <c r="AJ38" s="10">
        <v>49.872232774744496</v>
      </c>
      <c r="AK38" s="10">
        <v>89.577814371250113</v>
      </c>
      <c r="AL38" s="10">
        <v>85.298259976386049</v>
      </c>
      <c r="AM38" s="10">
        <v>68.68996278204223</v>
      </c>
      <c r="AN38" s="10">
        <v>74.474235809883211</v>
      </c>
      <c r="AO38" s="10">
        <v>37.268272306742155</v>
      </c>
      <c r="AP38" s="10">
        <v>51.880887316522376</v>
      </c>
      <c r="AQ38" s="10">
        <v>18.572171911026778</v>
      </c>
      <c r="AR38" s="10">
        <v>59.171819712048112</v>
      </c>
      <c r="AS38" s="10">
        <v>26.316519959850325</v>
      </c>
      <c r="AT38" s="10">
        <v>36.986207474418499</v>
      </c>
      <c r="AU38" s="10">
        <v>66.193044266573182</v>
      </c>
      <c r="AV38" s="10">
        <v>67.574439524631117</v>
      </c>
      <c r="AW38" s="10">
        <v>40.196568095550347</v>
      </c>
      <c r="AX38" s="10">
        <v>92.302414697789217</v>
      </c>
      <c r="AY38" s="10">
        <v>56.801316772928921</v>
      </c>
      <c r="AZ38" s="10">
        <v>15.636752293394029</v>
      </c>
      <c r="BA38" s="10">
        <v>4.6313087983421379</v>
      </c>
      <c r="BB38" s="10">
        <v>0.52739760063008623</v>
      </c>
      <c r="BC38" s="10">
        <v>27.708884071108553</v>
      </c>
      <c r="BD38" s="10">
        <v>99.311552944098494</v>
      </c>
      <c r="BE38" s="10">
        <v>43.130024161842208</v>
      </c>
    </row>
    <row r="39" spans="2:57" x14ac:dyDescent="0.3">
      <c r="B39" s="7">
        <v>2015</v>
      </c>
      <c r="C39" s="8" t="s">
        <v>70</v>
      </c>
      <c r="D39" s="8" t="s">
        <v>71</v>
      </c>
      <c r="E39" s="8" t="s">
        <v>149</v>
      </c>
      <c r="F39" s="11">
        <v>0.86837498805574231</v>
      </c>
      <c r="G39" s="11">
        <v>77.692799685709417</v>
      </c>
      <c r="H39" s="11">
        <v>98.514323872096483</v>
      </c>
      <c r="I39" s="11">
        <v>49.791026108340944</v>
      </c>
      <c r="J39" s="11">
        <v>78.687484760662386</v>
      </c>
      <c r="K39" s="11">
        <v>27.701144838766425</v>
      </c>
      <c r="L39" s="11">
        <v>25.19741235500511</v>
      </c>
      <c r="M39" s="11">
        <v>99.855171468837014</v>
      </c>
      <c r="N39" s="11">
        <v>3.0503631718194146</v>
      </c>
      <c r="O39" s="11">
        <v>38.334955750681345</v>
      </c>
      <c r="P39" s="11">
        <v>52.002336449618191</v>
      </c>
      <c r="Q39" s="11">
        <v>66.139386409826102</v>
      </c>
      <c r="R39" s="11">
        <v>53.374521650331467</v>
      </c>
      <c r="S39" s="11">
        <v>51.055933786887309</v>
      </c>
      <c r="T39" s="11">
        <v>13.863399138543608</v>
      </c>
      <c r="U39" s="11">
        <v>84.687247569962452</v>
      </c>
      <c r="V39" s="11">
        <v>7.2123172092144694</v>
      </c>
      <c r="W39" s="11">
        <v>19.363944949733625</v>
      </c>
      <c r="X39" s="11">
        <v>89.410670357427335</v>
      </c>
      <c r="Y39" s="11">
        <v>12.309271790312481</v>
      </c>
      <c r="Z39" s="11">
        <v>79.807814937412473</v>
      </c>
      <c r="AA39" s="11">
        <v>9.9729744752057865</v>
      </c>
      <c r="AB39" s="11">
        <v>77.251192688269469</v>
      </c>
      <c r="AC39" s="11">
        <v>5.8506563055934269</v>
      </c>
      <c r="AD39" s="11">
        <v>93.489436329670909</v>
      </c>
      <c r="AE39" s="11">
        <v>68.014300069460873</v>
      </c>
      <c r="AF39" s="11">
        <v>31.799149534895633</v>
      </c>
      <c r="AG39" s="11">
        <v>53.829940891084682</v>
      </c>
      <c r="AH39" s="11">
        <v>91.487669933290306</v>
      </c>
      <c r="AI39" s="11">
        <v>95.916619582644714</v>
      </c>
      <c r="AJ39" s="11">
        <v>86.236011539693564</v>
      </c>
      <c r="AK39" s="11">
        <v>74.56001907296293</v>
      </c>
      <c r="AL39" s="11">
        <v>43.019074439602164</v>
      </c>
      <c r="AM39" s="11">
        <v>5.7430900559858333</v>
      </c>
      <c r="AN39" s="11">
        <v>29.459192466629936</v>
      </c>
      <c r="AO39" s="11">
        <v>33.914712466325483</v>
      </c>
      <c r="AP39" s="11">
        <v>3.977266369192678</v>
      </c>
      <c r="AQ39" s="11">
        <v>50.749781930039461</v>
      </c>
      <c r="AR39" s="11">
        <v>65.95980171091432</v>
      </c>
      <c r="AS39" s="11">
        <v>40.564344123083615</v>
      </c>
      <c r="AT39" s="11">
        <v>10.983437717353272</v>
      </c>
      <c r="AU39" s="11">
        <v>92.040330786271369</v>
      </c>
      <c r="AV39" s="11">
        <v>0.72953409867544394</v>
      </c>
      <c r="AW39" s="11">
        <v>71.157492106022374</v>
      </c>
      <c r="AX39" s="11">
        <v>6.3053287648135781</v>
      </c>
      <c r="AY39" s="11">
        <v>72.246138415378084</v>
      </c>
      <c r="AZ39" s="11">
        <v>68.852706864666914</v>
      </c>
      <c r="BA39" s="11">
        <v>65.059430270848381</v>
      </c>
      <c r="BB39" s="11">
        <v>78.230194280331673</v>
      </c>
      <c r="BC39" s="11">
        <v>90.293444634745029</v>
      </c>
      <c r="BD39" s="11">
        <v>78.13270431591242</v>
      </c>
      <c r="BE39" s="11">
        <v>24.858796709722807</v>
      </c>
    </row>
    <row r="40" spans="2:57" x14ac:dyDescent="0.3">
      <c r="B40" s="5">
        <v>2015</v>
      </c>
      <c r="C40" s="6" t="s">
        <v>72</v>
      </c>
      <c r="D40" s="6" t="s">
        <v>73</v>
      </c>
      <c r="E40" s="6" t="s">
        <v>150</v>
      </c>
      <c r="F40" s="10">
        <v>31.377873820448386</v>
      </c>
      <c r="G40" s="10">
        <v>68.805381335773404</v>
      </c>
      <c r="H40" s="10">
        <v>57.25694643434548</v>
      </c>
      <c r="I40" s="10">
        <v>72.899915588236681</v>
      </c>
      <c r="J40" s="10">
        <v>1.7422548828038065</v>
      </c>
      <c r="K40" s="10">
        <v>3.0502151621715434</v>
      </c>
      <c r="L40" s="10">
        <v>23.660219482130319</v>
      </c>
      <c r="M40" s="10">
        <v>53.440753796513071</v>
      </c>
      <c r="N40" s="10">
        <v>50.767952833719278</v>
      </c>
      <c r="O40" s="10">
        <v>36.190091486782507</v>
      </c>
      <c r="P40" s="10">
        <v>34.996644049148649</v>
      </c>
      <c r="Q40" s="10">
        <v>61.825551599134201</v>
      </c>
      <c r="R40" s="10">
        <v>9.6099947889718642</v>
      </c>
      <c r="S40" s="10">
        <v>97.401382529787497</v>
      </c>
      <c r="T40" s="10">
        <v>48.794152432263694</v>
      </c>
      <c r="U40" s="10">
        <v>15.427204468354594</v>
      </c>
      <c r="V40" s="10">
        <v>5.7567734422264261</v>
      </c>
      <c r="W40" s="10">
        <v>32.285991278249384</v>
      </c>
      <c r="X40" s="10">
        <v>87.924718897236701</v>
      </c>
      <c r="Y40" s="10">
        <v>5.1780114105856594</v>
      </c>
      <c r="Z40" s="10">
        <v>31.88783597498994</v>
      </c>
      <c r="AA40" s="10">
        <v>11.46490666296649</v>
      </c>
      <c r="AB40" s="10">
        <v>67.577054828623147</v>
      </c>
      <c r="AC40" s="10">
        <v>29.106597621164077</v>
      </c>
      <c r="AD40" s="10">
        <v>13.951899437760741</v>
      </c>
      <c r="AE40" s="10">
        <v>41.475952194273503</v>
      </c>
      <c r="AF40" s="10">
        <v>17.787288755344342</v>
      </c>
      <c r="AG40" s="10">
        <v>18.076916051589155</v>
      </c>
      <c r="AH40" s="10">
        <v>25.432424903180273</v>
      </c>
      <c r="AI40" s="10">
        <v>63.811600379989606</v>
      </c>
      <c r="AJ40" s="10">
        <v>18.116266246302082</v>
      </c>
      <c r="AK40" s="10">
        <v>37.390129176788854</v>
      </c>
      <c r="AL40" s="10">
        <v>37.587791358596277</v>
      </c>
      <c r="AM40" s="10">
        <v>51.670632934449877</v>
      </c>
      <c r="AN40" s="10">
        <v>80.163961244536921</v>
      </c>
      <c r="AO40" s="10">
        <v>44.54264097028048</v>
      </c>
      <c r="AP40" s="10">
        <v>35.44171282117432</v>
      </c>
      <c r="AQ40" s="10">
        <v>13.479629796153169</v>
      </c>
      <c r="AR40" s="10">
        <v>60.490390150579188</v>
      </c>
      <c r="AS40" s="10">
        <v>41.935329827156878</v>
      </c>
      <c r="AT40" s="10">
        <v>87.543157151335507</v>
      </c>
      <c r="AU40" s="10">
        <v>23.495891895936204</v>
      </c>
      <c r="AV40" s="10">
        <v>2.8010872483661853</v>
      </c>
      <c r="AW40" s="10">
        <v>92.661829867147077</v>
      </c>
      <c r="AX40" s="10">
        <v>31.806940414962035</v>
      </c>
      <c r="AY40" s="10">
        <v>34.26781381435562</v>
      </c>
      <c r="AZ40" s="10">
        <v>87.440456315875622</v>
      </c>
      <c r="BA40" s="10">
        <v>98.410984694158685</v>
      </c>
      <c r="BB40" s="10">
        <v>12.429406753476524</v>
      </c>
      <c r="BC40" s="10">
        <v>77.093294429449173</v>
      </c>
      <c r="BD40" s="10">
        <v>58.574363204939687</v>
      </c>
      <c r="BE40" s="10">
        <v>88.434843522703673</v>
      </c>
    </row>
    <row r="41" spans="2:57" x14ac:dyDescent="0.3">
      <c r="B41" s="7">
        <v>2015</v>
      </c>
      <c r="C41" s="8" t="s">
        <v>74</v>
      </c>
      <c r="D41" s="8" t="s">
        <v>75</v>
      </c>
      <c r="E41" s="8" t="s">
        <v>151</v>
      </c>
      <c r="F41" s="11">
        <v>15.227962016202978</v>
      </c>
      <c r="G41" s="11">
        <v>76.153104868868311</v>
      </c>
      <c r="H41" s="11">
        <v>46.015396848549216</v>
      </c>
      <c r="I41" s="11">
        <v>1.9961138459453909</v>
      </c>
      <c r="J41" s="11">
        <v>43.304350010985274</v>
      </c>
      <c r="K41" s="11">
        <v>83.485748483541784</v>
      </c>
      <c r="L41" s="11">
        <v>11.252053971135901</v>
      </c>
      <c r="M41" s="11">
        <v>19.31914753209918</v>
      </c>
      <c r="N41" s="11">
        <v>32.442605724624173</v>
      </c>
      <c r="O41" s="11">
        <v>7.1405381734905182</v>
      </c>
      <c r="P41" s="11">
        <v>74.077341925517729</v>
      </c>
      <c r="Q41" s="11">
        <v>88.13505343965582</v>
      </c>
      <c r="R41" s="11">
        <v>86.329030356030827</v>
      </c>
      <c r="S41" s="11">
        <v>71.498950112690494</v>
      </c>
      <c r="T41" s="11">
        <v>63.785324461945159</v>
      </c>
      <c r="U41" s="11">
        <v>24.478269692355603</v>
      </c>
      <c r="V41" s="11">
        <v>76.949083095217915</v>
      </c>
      <c r="W41" s="11">
        <v>36.356651400440654</v>
      </c>
      <c r="X41" s="11">
        <v>66.059029299506108</v>
      </c>
      <c r="Y41" s="11">
        <v>80.126787276597028</v>
      </c>
      <c r="Z41" s="11">
        <v>28.676072335420976</v>
      </c>
      <c r="AA41" s="11">
        <v>73.135314757218012</v>
      </c>
      <c r="AB41" s="11">
        <v>60.552474199295425</v>
      </c>
      <c r="AC41" s="11">
        <v>39.342757001948399</v>
      </c>
      <c r="AD41" s="11">
        <v>68.163672555771399</v>
      </c>
      <c r="AE41" s="11">
        <v>74.564853202236321</v>
      </c>
      <c r="AF41" s="11">
        <v>32.854235376003224</v>
      </c>
      <c r="AG41" s="11">
        <v>59.917098745890016</v>
      </c>
      <c r="AH41" s="11">
        <v>46.847443382141265</v>
      </c>
      <c r="AI41" s="11">
        <v>36.44366966035971</v>
      </c>
      <c r="AJ41" s="11">
        <v>60.675461968074138</v>
      </c>
      <c r="AK41" s="11">
        <v>12.51512911585082</v>
      </c>
      <c r="AL41" s="11">
        <v>37.567667293533965</v>
      </c>
      <c r="AM41" s="11">
        <v>66.457692294735054</v>
      </c>
      <c r="AN41" s="11">
        <v>97.740722042649026</v>
      </c>
      <c r="AO41" s="11">
        <v>53.02742022534224</v>
      </c>
      <c r="AP41" s="11">
        <v>74.818166399657741</v>
      </c>
      <c r="AQ41" s="11">
        <v>58.445985028553039</v>
      </c>
      <c r="AR41" s="11">
        <v>22.595310536156475</v>
      </c>
      <c r="AS41" s="11">
        <v>12.163515983093387</v>
      </c>
      <c r="AT41" s="11">
        <v>77.256962060524032</v>
      </c>
      <c r="AU41" s="11">
        <v>31.520275474903205</v>
      </c>
      <c r="AV41" s="11">
        <v>53.369480614041443</v>
      </c>
      <c r="AW41" s="11">
        <v>74.191901584812186</v>
      </c>
      <c r="AX41" s="11">
        <v>38.216762992041154</v>
      </c>
      <c r="AY41" s="11">
        <v>31.390598735557241</v>
      </c>
      <c r="AZ41" s="11">
        <v>51.730019036926947</v>
      </c>
      <c r="BA41" s="11">
        <v>15.950462307592838</v>
      </c>
      <c r="BB41" s="11">
        <v>18.141814209654918</v>
      </c>
      <c r="BC41" s="11">
        <v>75.375027497334685</v>
      </c>
      <c r="BD41" s="11">
        <v>59.639055771133101</v>
      </c>
      <c r="BE41" s="11">
        <v>66.849809497484515</v>
      </c>
    </row>
    <row r="42" spans="2:57" x14ac:dyDescent="0.3">
      <c r="B42" s="5">
        <v>2015</v>
      </c>
      <c r="C42" s="6" t="s">
        <v>76</v>
      </c>
      <c r="D42" s="6" t="s">
        <v>77</v>
      </c>
      <c r="E42" s="6" t="s">
        <v>152</v>
      </c>
      <c r="F42" s="10">
        <v>21.349708251314748</v>
      </c>
      <c r="G42" s="10">
        <v>35.801291887326549</v>
      </c>
      <c r="H42" s="10">
        <v>89.509561259032637</v>
      </c>
      <c r="I42" s="10">
        <v>79.200711839173962</v>
      </c>
      <c r="J42" s="10">
        <v>41.822288993756644</v>
      </c>
      <c r="K42" s="10">
        <v>60.480906413693511</v>
      </c>
      <c r="L42" s="10">
        <v>37.327046470212544</v>
      </c>
      <c r="M42" s="10">
        <v>78.208162662135507</v>
      </c>
      <c r="N42" s="10">
        <v>6.6853325413187665</v>
      </c>
      <c r="O42" s="10">
        <v>32.052411649716475</v>
      </c>
      <c r="P42" s="10">
        <v>1.2266734634250986</v>
      </c>
      <c r="Q42" s="10">
        <v>60.583175844129499</v>
      </c>
      <c r="R42" s="10">
        <v>6.4538874163621589</v>
      </c>
      <c r="S42" s="10">
        <v>3.0610816047082379</v>
      </c>
      <c r="T42" s="10">
        <v>84.979082421826391</v>
      </c>
      <c r="U42" s="10">
        <v>43.964981282314653</v>
      </c>
      <c r="V42" s="10">
        <v>82.192718771040603</v>
      </c>
      <c r="W42" s="10">
        <v>46.465755486058114</v>
      </c>
      <c r="X42" s="10">
        <v>58.148162673837192</v>
      </c>
      <c r="Y42" s="10">
        <v>8.0385309856219394</v>
      </c>
      <c r="Z42" s="10">
        <v>62.660713245992547</v>
      </c>
      <c r="AA42" s="10">
        <v>90.394386699213499</v>
      </c>
      <c r="AB42" s="10">
        <v>23.835126655058946</v>
      </c>
      <c r="AC42" s="10">
        <v>22.062946142834338</v>
      </c>
      <c r="AD42" s="10">
        <v>17.200191541738931</v>
      </c>
      <c r="AE42" s="10">
        <v>42.954121468013128</v>
      </c>
      <c r="AF42" s="10">
        <v>47.545303004215036</v>
      </c>
      <c r="AG42" s="10">
        <v>83.761979641067825</v>
      </c>
      <c r="AH42" s="10">
        <v>27.012447016314887</v>
      </c>
      <c r="AI42" s="10">
        <v>41.412463656415866</v>
      </c>
      <c r="AJ42" s="10">
        <v>96.95562128735817</v>
      </c>
      <c r="AK42" s="10">
        <v>44.185376937276835</v>
      </c>
      <c r="AL42" s="10">
        <v>44.29759319134623</v>
      </c>
      <c r="AM42" s="10">
        <v>41.51782144557675</v>
      </c>
      <c r="AN42" s="10">
        <v>72.947493797646729</v>
      </c>
      <c r="AO42" s="10">
        <v>50.731770052824878</v>
      </c>
      <c r="AP42" s="10">
        <v>44.089689124304876</v>
      </c>
      <c r="AQ42" s="10">
        <v>71.930312981302862</v>
      </c>
      <c r="AR42" s="10">
        <v>89.003237183846551</v>
      </c>
      <c r="AS42" s="10">
        <v>57.356401476183649</v>
      </c>
      <c r="AT42" s="10">
        <v>69.588170612775912</v>
      </c>
      <c r="AU42" s="10">
        <v>80.124116166118895</v>
      </c>
      <c r="AV42" s="10">
        <v>67.897645363900011</v>
      </c>
      <c r="AW42" s="10">
        <v>37.380581910923013</v>
      </c>
      <c r="AX42" s="10">
        <v>47.209273545318688</v>
      </c>
      <c r="AY42" s="10">
        <v>58.301964426580021</v>
      </c>
      <c r="AZ42" s="10">
        <v>47.561434180857844</v>
      </c>
      <c r="BA42" s="10">
        <v>73.339831347495334</v>
      </c>
      <c r="BB42" s="10">
        <v>72.64324197053223</v>
      </c>
      <c r="BC42" s="10">
        <v>45.557720789750853</v>
      </c>
      <c r="BD42" s="10">
        <v>15.287208514110917</v>
      </c>
      <c r="BE42" s="10">
        <v>47.892348670986337</v>
      </c>
    </row>
    <row r="43" spans="2:57" x14ac:dyDescent="0.3">
      <c r="B43" s="7">
        <v>2015</v>
      </c>
      <c r="C43" s="8" t="s">
        <v>78</v>
      </c>
      <c r="D43" s="8" t="s">
        <v>79</v>
      </c>
      <c r="E43" s="8" t="s">
        <v>153</v>
      </c>
      <c r="F43" s="11">
        <v>72.028299999581094</v>
      </c>
      <c r="G43" s="11">
        <v>68.814642611120874</v>
      </c>
      <c r="H43" s="11">
        <v>29.75161277355679</v>
      </c>
      <c r="I43" s="11">
        <v>48.616386430517032</v>
      </c>
      <c r="J43" s="11">
        <v>66.978802899798296</v>
      </c>
      <c r="K43" s="11">
        <v>7.6773461345458376</v>
      </c>
      <c r="L43" s="11">
        <v>70.835874023524553</v>
      </c>
      <c r="M43" s="11">
        <v>92.920160104946376</v>
      </c>
      <c r="N43" s="11">
        <v>46.80806754681236</v>
      </c>
      <c r="O43" s="11">
        <v>94.424679797626979</v>
      </c>
      <c r="P43" s="11">
        <v>9.3619185988840563</v>
      </c>
      <c r="Q43" s="11">
        <v>78.908875202546852</v>
      </c>
      <c r="R43" s="11">
        <v>34.874593039831559</v>
      </c>
      <c r="S43" s="11">
        <v>91.617150188234604</v>
      </c>
      <c r="T43" s="11">
        <v>67.04621107283603</v>
      </c>
      <c r="U43" s="11">
        <v>86.611973670917308</v>
      </c>
      <c r="V43" s="11">
        <v>3.1754578711951087E-2</v>
      </c>
      <c r="W43" s="11">
        <v>63.137882845710081</v>
      </c>
      <c r="X43" s="11">
        <v>56.573181756081802</v>
      </c>
      <c r="Y43" s="11">
        <v>6.3028966843173713</v>
      </c>
      <c r="Z43" s="11">
        <v>62.205533790389453</v>
      </c>
      <c r="AA43" s="11">
        <v>97.793814168318548</v>
      </c>
      <c r="AB43" s="11">
        <v>1.0231356089506094</v>
      </c>
      <c r="AC43" s="11">
        <v>46.761723270365927</v>
      </c>
      <c r="AD43" s="11">
        <v>67.546789768840227</v>
      </c>
      <c r="AE43" s="11">
        <v>59.664940052016156</v>
      </c>
      <c r="AF43" s="11">
        <v>54.657314842336916</v>
      </c>
      <c r="AG43" s="11">
        <v>20.724897551437639</v>
      </c>
      <c r="AH43" s="11">
        <v>73.045529200256667</v>
      </c>
      <c r="AI43" s="11">
        <v>65.038434151676469</v>
      </c>
      <c r="AJ43" s="11">
        <v>80.646883923928115</v>
      </c>
      <c r="AK43" s="11">
        <v>26.313003644169619</v>
      </c>
      <c r="AL43" s="11">
        <v>83.544527949666843</v>
      </c>
      <c r="AM43" s="11">
        <v>78.195269526983196</v>
      </c>
      <c r="AN43" s="11">
        <v>80.919799596250101</v>
      </c>
      <c r="AO43" s="11">
        <v>27.225720078471671</v>
      </c>
      <c r="AP43" s="11">
        <v>61.635839573546278</v>
      </c>
      <c r="AQ43" s="11">
        <v>57.457811373998332</v>
      </c>
      <c r="AR43" s="11">
        <v>97.074718816788902</v>
      </c>
      <c r="AS43" s="11">
        <v>6.7415839759375924</v>
      </c>
      <c r="AT43" s="11">
        <v>29.592076428487669</v>
      </c>
      <c r="AU43" s="11">
        <v>85.094421229967068</v>
      </c>
      <c r="AV43" s="11">
        <v>33.828975815507533</v>
      </c>
      <c r="AW43" s="11">
        <v>41.623048377704841</v>
      </c>
      <c r="AX43" s="11">
        <v>63.944247037534161</v>
      </c>
      <c r="AY43" s="11">
        <v>94.029327625235709</v>
      </c>
      <c r="AZ43" s="11">
        <v>38.011856248377498</v>
      </c>
      <c r="BA43" s="11">
        <v>48.514270936031032</v>
      </c>
      <c r="BB43" s="11">
        <v>37.773479787572526</v>
      </c>
      <c r="BC43" s="11">
        <v>1.5096606700506499</v>
      </c>
      <c r="BD43" s="11">
        <v>45.243407289140421</v>
      </c>
      <c r="BE43" s="11">
        <v>27.424715298638493</v>
      </c>
    </row>
    <row r="44" spans="2:57" x14ac:dyDescent="0.3">
      <c r="B44" s="5">
        <v>2015</v>
      </c>
      <c r="C44" s="6" t="s">
        <v>82</v>
      </c>
      <c r="D44" s="6" t="s">
        <v>83</v>
      </c>
      <c r="E44" s="6" t="s">
        <v>154</v>
      </c>
      <c r="F44" s="10">
        <v>51.764536000539209</v>
      </c>
      <c r="G44" s="10">
        <v>99.596555351964895</v>
      </c>
      <c r="H44" s="10">
        <v>40.958749442359242</v>
      </c>
      <c r="I44" s="10">
        <v>68.844378841039457</v>
      </c>
      <c r="J44" s="10">
        <v>29.824746849211103</v>
      </c>
      <c r="K44" s="10">
        <v>37.51542707372321</v>
      </c>
      <c r="L44" s="10">
        <v>9.6966601659134728</v>
      </c>
      <c r="M44" s="10">
        <v>11.89246421712734</v>
      </c>
      <c r="N44" s="10">
        <v>33.052979088566694</v>
      </c>
      <c r="O44" s="10">
        <v>85.014342388433576</v>
      </c>
      <c r="P44" s="10">
        <v>34.197427958791984</v>
      </c>
      <c r="Q44" s="10">
        <v>11.812971902909474</v>
      </c>
      <c r="R44" s="10">
        <v>64.981961420739054</v>
      </c>
      <c r="S44" s="10">
        <v>75.521747003342796</v>
      </c>
      <c r="T44" s="10">
        <v>61.331061592020397</v>
      </c>
      <c r="U44" s="10">
        <v>5.7610042800700594</v>
      </c>
      <c r="V44" s="10">
        <v>75.495108815438343</v>
      </c>
      <c r="W44" s="10">
        <v>8.2172500831216855</v>
      </c>
      <c r="X44" s="10">
        <v>35.349490350525393</v>
      </c>
      <c r="Y44" s="10">
        <v>85.816277720714822</v>
      </c>
      <c r="Z44" s="10">
        <v>95.372001679182958</v>
      </c>
      <c r="AA44" s="10">
        <v>23.336470034314338</v>
      </c>
      <c r="AB44" s="10">
        <v>92.99911786284629</v>
      </c>
      <c r="AC44" s="10">
        <v>5.215582898891336</v>
      </c>
      <c r="AD44" s="10">
        <v>7.1145915304493439</v>
      </c>
      <c r="AE44" s="10">
        <v>98.62317018657923</v>
      </c>
      <c r="AF44" s="10">
        <v>44.736610266271789</v>
      </c>
      <c r="AG44" s="10">
        <v>4.5716233836200493</v>
      </c>
      <c r="AH44" s="10">
        <v>33.012609118906688</v>
      </c>
      <c r="AI44" s="10">
        <v>60.082658032490279</v>
      </c>
      <c r="AJ44" s="10">
        <v>21.595892979340057</v>
      </c>
      <c r="AK44" s="10">
        <v>71.183689459624688</v>
      </c>
      <c r="AL44" s="10">
        <v>53.016111546664291</v>
      </c>
      <c r="AM44" s="10">
        <v>97.924999028639689</v>
      </c>
      <c r="AN44" s="10">
        <v>1.27424761430176</v>
      </c>
      <c r="AO44" s="10">
        <v>10.588515128132181</v>
      </c>
      <c r="AP44" s="10">
        <v>62.509336793237402</v>
      </c>
      <c r="AQ44" s="10">
        <v>19.958953640840782</v>
      </c>
      <c r="AR44" s="10">
        <v>4.8137123505825663</v>
      </c>
      <c r="AS44" s="10">
        <v>74.045025196331096</v>
      </c>
      <c r="AT44" s="10">
        <v>97.608299729364418</v>
      </c>
      <c r="AU44" s="10">
        <v>13.981363640645139</v>
      </c>
      <c r="AV44" s="10">
        <v>66.054199869046229</v>
      </c>
      <c r="AW44" s="10">
        <v>11.573605897974314</v>
      </c>
      <c r="AX44" s="10">
        <v>16.908382167577074</v>
      </c>
      <c r="AY44" s="10">
        <v>96.016315517236634</v>
      </c>
      <c r="AZ44" s="10">
        <v>81.035507770220079</v>
      </c>
      <c r="BA44" s="10">
        <v>4.2848010674342962</v>
      </c>
      <c r="BB44" s="10">
        <v>99.984355416663121</v>
      </c>
      <c r="BC44" s="10">
        <v>13.836946867400091</v>
      </c>
      <c r="BD44" s="10">
        <v>7.7854270239008372</v>
      </c>
      <c r="BE44" s="10">
        <v>4.7721001345175313</v>
      </c>
    </row>
    <row r="45" spans="2:57" x14ac:dyDescent="0.3">
      <c r="B45" s="7">
        <v>2015</v>
      </c>
      <c r="C45" s="8" t="s">
        <v>84</v>
      </c>
      <c r="D45" s="8" t="s">
        <v>85</v>
      </c>
      <c r="E45" s="8" t="s">
        <v>155</v>
      </c>
      <c r="F45" s="11">
        <v>7.1890161567310873</v>
      </c>
      <c r="G45" s="11">
        <v>74.456321358791882</v>
      </c>
      <c r="H45" s="11">
        <v>0.32094978034677979</v>
      </c>
      <c r="I45" s="11">
        <v>53.063106708128785</v>
      </c>
      <c r="J45" s="11">
        <v>79.953047611368049</v>
      </c>
      <c r="K45" s="11">
        <v>1.0366250584460279</v>
      </c>
      <c r="L45" s="11">
        <v>85.663140248311819</v>
      </c>
      <c r="M45" s="11">
        <v>59.317678975118248</v>
      </c>
      <c r="N45" s="11">
        <v>5.6952620391926834</v>
      </c>
      <c r="O45" s="11">
        <v>84.641235599355582</v>
      </c>
      <c r="P45" s="11">
        <v>39.477869372291444</v>
      </c>
      <c r="Q45" s="11">
        <v>53.249847237655324</v>
      </c>
      <c r="R45" s="11">
        <v>51.534648795433924</v>
      </c>
      <c r="S45" s="11">
        <v>56.879491314277949</v>
      </c>
      <c r="T45" s="11">
        <v>38.827059379273074</v>
      </c>
      <c r="U45" s="11">
        <v>72.784430277024853</v>
      </c>
      <c r="V45" s="11">
        <v>14.363208539105866</v>
      </c>
      <c r="W45" s="11">
        <v>85.463851254286311</v>
      </c>
      <c r="X45" s="11">
        <v>22.997104718277718</v>
      </c>
      <c r="Y45" s="11">
        <v>94.983293768615368</v>
      </c>
      <c r="Z45" s="11">
        <v>64.715970139797136</v>
      </c>
      <c r="AA45" s="11">
        <v>59.895960990780935</v>
      </c>
      <c r="AB45" s="11">
        <v>72.366891537439926</v>
      </c>
      <c r="AC45" s="11">
        <v>92.533244498890284</v>
      </c>
      <c r="AD45" s="11">
        <v>41.929791324861057</v>
      </c>
      <c r="AE45" s="11">
        <v>67.194464555781366</v>
      </c>
      <c r="AF45" s="11">
        <v>52.039682942792624</v>
      </c>
      <c r="AG45" s="11">
        <v>77.169235881044457</v>
      </c>
      <c r="AH45" s="11">
        <v>66.602370600226919</v>
      </c>
      <c r="AI45" s="11">
        <v>52.944439436878334</v>
      </c>
      <c r="AJ45" s="11">
        <v>58.933574449881164</v>
      </c>
      <c r="AK45" s="11">
        <v>0.64599895564873</v>
      </c>
      <c r="AL45" s="11">
        <v>47.409585878683856</v>
      </c>
      <c r="AM45" s="11">
        <v>76.514502758703273</v>
      </c>
      <c r="AN45" s="11">
        <v>58.431904575705794</v>
      </c>
      <c r="AO45" s="11">
        <v>78.117035591899253</v>
      </c>
      <c r="AP45" s="11">
        <v>83.825409046018933</v>
      </c>
      <c r="AQ45" s="11">
        <v>70.76914412244534</v>
      </c>
      <c r="AR45" s="11">
        <v>25.244711461300049</v>
      </c>
      <c r="AS45" s="11">
        <v>30.557075701787994</v>
      </c>
      <c r="AT45" s="11">
        <v>70.768048059561266</v>
      </c>
      <c r="AU45" s="11">
        <v>46.306808001326061</v>
      </c>
      <c r="AV45" s="11">
        <v>43.362182129364733</v>
      </c>
      <c r="AW45" s="11">
        <v>51.827536507578309</v>
      </c>
      <c r="AX45" s="11">
        <v>91.268472831923575</v>
      </c>
      <c r="AY45" s="11">
        <v>42.848372117731351</v>
      </c>
      <c r="AZ45" s="11">
        <v>49.750339965299752</v>
      </c>
      <c r="BA45" s="11">
        <v>37.003735076881242</v>
      </c>
      <c r="BB45" s="11">
        <v>69.78356056322427</v>
      </c>
      <c r="BC45" s="11">
        <v>62.317897696496594</v>
      </c>
      <c r="BD45" s="11">
        <v>49.644963531144761</v>
      </c>
      <c r="BE45" s="11">
        <v>77.103694317013876</v>
      </c>
    </row>
    <row r="46" spans="2:57" x14ac:dyDescent="0.3">
      <c r="B46" s="5">
        <v>2015</v>
      </c>
      <c r="C46" s="6" t="s">
        <v>86</v>
      </c>
      <c r="D46" s="6" t="s">
        <v>87</v>
      </c>
      <c r="E46" s="6" t="s">
        <v>183</v>
      </c>
      <c r="F46" s="10">
        <v>21.495850923525229</v>
      </c>
      <c r="G46" s="10">
        <v>88.146077999742715</v>
      </c>
      <c r="H46" s="10">
        <v>14.651412213128012</v>
      </c>
      <c r="I46" s="10">
        <v>68.245612126359845</v>
      </c>
      <c r="J46" s="10">
        <v>88.324329890570397</v>
      </c>
      <c r="K46" s="10">
        <v>61.487445039982489</v>
      </c>
      <c r="L46" s="10">
        <v>79.73551771381247</v>
      </c>
      <c r="M46" s="10">
        <v>48.345019175431112</v>
      </c>
      <c r="N46" s="10">
        <v>8.9090576679342508</v>
      </c>
      <c r="O46" s="10">
        <v>88.659173744569955</v>
      </c>
      <c r="P46" s="10">
        <v>88.526115269525164</v>
      </c>
      <c r="Q46" s="10">
        <v>61.237127494200237</v>
      </c>
      <c r="R46" s="10">
        <v>11.514576861523718</v>
      </c>
      <c r="S46" s="10">
        <v>67.810956243104997</v>
      </c>
      <c r="T46" s="10">
        <v>55.753686286624806</v>
      </c>
      <c r="U46" s="10">
        <v>97.158227737249803</v>
      </c>
      <c r="V46" s="10">
        <v>31.186044335560183</v>
      </c>
      <c r="W46" s="10">
        <v>12.691661660130249</v>
      </c>
      <c r="X46" s="10">
        <v>23.214989914098695</v>
      </c>
      <c r="Y46" s="10">
        <v>71.836974468423477</v>
      </c>
      <c r="Z46" s="10">
        <v>17.212637760413351</v>
      </c>
      <c r="AA46" s="10">
        <v>90.7479615168468</v>
      </c>
      <c r="AB46" s="10">
        <v>5.8671930318722865</v>
      </c>
      <c r="AC46" s="10">
        <v>83.853690010744543</v>
      </c>
      <c r="AD46" s="10">
        <v>4.2268239940657537</v>
      </c>
      <c r="AE46" s="10">
        <v>5.1732370095974423</v>
      </c>
      <c r="AF46" s="10">
        <v>83.453436288935535</v>
      </c>
      <c r="AG46" s="10">
        <v>59.806103445551585</v>
      </c>
      <c r="AH46" s="10">
        <v>15.219741172824763</v>
      </c>
      <c r="AI46" s="10">
        <v>56.250325725043282</v>
      </c>
      <c r="AJ46" s="10">
        <v>6.5850430990255227</v>
      </c>
      <c r="AK46" s="10">
        <v>84.095426882596072</v>
      </c>
      <c r="AL46" s="10">
        <v>60.235530461717424</v>
      </c>
      <c r="AM46" s="10">
        <v>8.6828791191685628</v>
      </c>
      <c r="AN46" s="10">
        <v>69.905377020490008</v>
      </c>
      <c r="AO46" s="10">
        <v>37.718512439850585</v>
      </c>
      <c r="AP46" s="10">
        <v>6.5723515000891908</v>
      </c>
      <c r="AQ46" s="10">
        <v>60.790410685393226</v>
      </c>
      <c r="AR46" s="10">
        <v>18.498512262012778</v>
      </c>
      <c r="AS46" s="10">
        <v>59.002607345213342</v>
      </c>
      <c r="AT46" s="10">
        <v>79.949686997488726</v>
      </c>
      <c r="AU46" s="10">
        <v>28.414393952813622</v>
      </c>
      <c r="AV46" s="10">
        <v>28.349277023360219</v>
      </c>
      <c r="AW46" s="10">
        <v>13.485390092220396</v>
      </c>
      <c r="AX46" s="10">
        <v>14.410052037661526</v>
      </c>
      <c r="AY46" s="10">
        <v>36.922041027610597</v>
      </c>
      <c r="AZ46" s="10">
        <v>4.9781296469021186</v>
      </c>
      <c r="BA46" s="10">
        <v>80.718651468803301</v>
      </c>
      <c r="BB46" s="10">
        <v>19.286036481368431</v>
      </c>
      <c r="BC46" s="10">
        <v>63.964420986829815</v>
      </c>
      <c r="BD46" s="10">
        <v>90.285453858022109</v>
      </c>
      <c r="BE46" s="10">
        <v>61.725939625211943</v>
      </c>
    </row>
    <row r="47" spans="2:57" x14ac:dyDescent="0.3">
      <c r="B47" s="7">
        <v>2015</v>
      </c>
      <c r="C47" s="8" t="s">
        <v>88</v>
      </c>
      <c r="D47" s="8" t="s">
        <v>89</v>
      </c>
      <c r="E47" s="8" t="s">
        <v>156</v>
      </c>
      <c r="F47" s="11">
        <v>39.971921037553692</v>
      </c>
      <c r="G47" s="11">
        <v>56.276044427183422</v>
      </c>
      <c r="H47" s="11">
        <v>76.560126554758327</v>
      </c>
      <c r="I47" s="11">
        <v>25.454706300826214</v>
      </c>
      <c r="J47" s="11">
        <v>89.391250720097901</v>
      </c>
      <c r="K47" s="11">
        <v>62.321314829336714</v>
      </c>
      <c r="L47" s="11">
        <v>35.114740399661706</v>
      </c>
      <c r="M47" s="11">
        <v>61.144945335461856</v>
      </c>
      <c r="N47" s="11">
        <v>7.4447652822688841</v>
      </c>
      <c r="O47" s="11">
        <v>65.120169822513645</v>
      </c>
      <c r="P47" s="11">
        <v>31.52841152257896</v>
      </c>
      <c r="Q47" s="11">
        <v>21.43095535657935</v>
      </c>
      <c r="R47" s="11">
        <v>24.589280102347345</v>
      </c>
      <c r="S47" s="11">
        <v>76.006743220494172</v>
      </c>
      <c r="T47" s="11">
        <v>54.629641031748577</v>
      </c>
      <c r="U47" s="11">
        <v>19.754084151874064</v>
      </c>
      <c r="V47" s="11">
        <v>87.395224139686817</v>
      </c>
      <c r="W47" s="11">
        <v>26.785765018966501</v>
      </c>
      <c r="X47" s="11">
        <v>82.420490469737459</v>
      </c>
      <c r="Y47" s="11">
        <v>70.499945423013116</v>
      </c>
      <c r="Z47" s="11">
        <v>26.262097907012858</v>
      </c>
      <c r="AA47" s="11">
        <v>71.5233499102427</v>
      </c>
      <c r="AB47" s="11">
        <v>19.551983756843928</v>
      </c>
      <c r="AC47" s="11">
        <v>32.743163712383904</v>
      </c>
      <c r="AD47" s="11">
        <v>75.603034878601889</v>
      </c>
      <c r="AE47" s="11">
        <v>99.668107598794663</v>
      </c>
      <c r="AF47" s="11">
        <v>92.664407228206713</v>
      </c>
      <c r="AG47" s="11">
        <v>81.201004298418184</v>
      </c>
      <c r="AH47" s="11">
        <v>56.199274359154813</v>
      </c>
      <c r="AI47" s="11">
        <v>35.863050834869448</v>
      </c>
      <c r="AJ47" s="11">
        <v>72.378871325357508</v>
      </c>
      <c r="AK47" s="11">
        <v>45.004125393066104</v>
      </c>
      <c r="AL47" s="11">
        <v>75.680399543900535</v>
      </c>
      <c r="AM47" s="11">
        <v>12.874692100904939</v>
      </c>
      <c r="AN47" s="11">
        <v>72.391654557593739</v>
      </c>
      <c r="AO47" s="11">
        <v>19.892610393053456</v>
      </c>
      <c r="AP47" s="11">
        <v>94.490896352205965</v>
      </c>
      <c r="AQ47" s="11">
        <v>88.388301509111784</v>
      </c>
      <c r="AR47" s="11">
        <v>38.717972320895832</v>
      </c>
      <c r="AS47" s="11">
        <v>73.129916585396231</v>
      </c>
      <c r="AT47" s="11">
        <v>83.198659429416082</v>
      </c>
      <c r="AU47" s="11">
        <v>84.038433003380348</v>
      </c>
      <c r="AV47" s="11">
        <v>78.134830991802858</v>
      </c>
      <c r="AW47" s="11">
        <v>25.905266568659314</v>
      </c>
      <c r="AX47" s="11">
        <v>66.699317241525833</v>
      </c>
      <c r="AY47" s="11">
        <v>66.983148449286674</v>
      </c>
      <c r="AZ47" s="11">
        <v>93.768984390901764</v>
      </c>
      <c r="BA47" s="11">
        <v>8.2749386873060988</v>
      </c>
      <c r="BB47" s="11">
        <v>59.968624493759812</v>
      </c>
      <c r="BC47" s="11">
        <v>35.374056450884964</v>
      </c>
      <c r="BD47" s="11">
        <v>18.429695734822214</v>
      </c>
      <c r="BE47" s="11">
        <v>54.418747075595796</v>
      </c>
    </row>
    <row r="48" spans="2:57" x14ac:dyDescent="0.3">
      <c r="B48" s="5">
        <v>2015</v>
      </c>
      <c r="C48" s="6" t="s">
        <v>90</v>
      </c>
      <c r="D48" s="6" t="s">
        <v>91</v>
      </c>
      <c r="E48" s="6" t="s">
        <v>157</v>
      </c>
      <c r="F48" s="10">
        <v>85.199309086958891</v>
      </c>
      <c r="G48" s="10">
        <v>62.622972799641509</v>
      </c>
      <c r="H48" s="10">
        <v>57.35319729162093</v>
      </c>
      <c r="I48" s="10">
        <v>22.96865427437136</v>
      </c>
      <c r="J48" s="10">
        <v>66.146731585587688</v>
      </c>
      <c r="K48" s="10">
        <v>12.080817866102954</v>
      </c>
      <c r="L48" s="10">
        <v>80.598248459194238</v>
      </c>
      <c r="M48" s="10">
        <v>28.863892098823808</v>
      </c>
      <c r="N48" s="10">
        <v>83.358141822478984</v>
      </c>
      <c r="O48" s="10">
        <v>56.495640837716451</v>
      </c>
      <c r="P48" s="10">
        <v>44.456416081712433</v>
      </c>
      <c r="Q48" s="10">
        <v>6.8259776006963317</v>
      </c>
      <c r="R48" s="10">
        <v>60.738819811126575</v>
      </c>
      <c r="S48" s="10">
        <v>15.459704208949498</v>
      </c>
      <c r="T48" s="10">
        <v>45.214230880808749</v>
      </c>
      <c r="U48" s="10">
        <v>7.8190867585574253</v>
      </c>
      <c r="V48" s="10">
        <v>60.081914943864</v>
      </c>
      <c r="W48" s="10">
        <v>41.028233729010289</v>
      </c>
      <c r="X48" s="10">
        <v>93.090464026109885</v>
      </c>
      <c r="Y48" s="10">
        <v>14.115669548301202</v>
      </c>
      <c r="Z48" s="10">
        <v>96.507630323137533</v>
      </c>
      <c r="AA48" s="10">
        <v>90.820716965772604</v>
      </c>
      <c r="AB48" s="10">
        <v>82.180273544052653</v>
      </c>
      <c r="AC48" s="10">
        <v>50.0797817915373</v>
      </c>
      <c r="AD48" s="10">
        <v>23.145442661039883</v>
      </c>
      <c r="AE48" s="10">
        <v>47.83068234663169</v>
      </c>
      <c r="AF48" s="10">
        <v>51.39067101947672</v>
      </c>
      <c r="AG48" s="10">
        <v>71.948465091135205</v>
      </c>
      <c r="AH48" s="10">
        <v>63.212343205270614</v>
      </c>
      <c r="AI48" s="10">
        <v>81.780620623438082</v>
      </c>
      <c r="AJ48" s="10">
        <v>86.052351963810011</v>
      </c>
      <c r="AK48" s="10">
        <v>34.236184056816555</v>
      </c>
      <c r="AL48" s="10">
        <v>74.575162421184856</v>
      </c>
      <c r="AM48" s="10">
        <v>75.213518066932963</v>
      </c>
      <c r="AN48" s="10">
        <v>16.480027362871606</v>
      </c>
      <c r="AO48" s="10">
        <v>92.158434478594572</v>
      </c>
      <c r="AP48" s="10">
        <v>14.750171178713989</v>
      </c>
      <c r="AQ48" s="10">
        <v>99.43649788085682</v>
      </c>
      <c r="AR48" s="10">
        <v>57.283570709334008</v>
      </c>
      <c r="AS48" s="10">
        <v>10.949084316443436</v>
      </c>
      <c r="AT48" s="10">
        <v>64.651585068892018</v>
      </c>
      <c r="AU48" s="10">
        <v>38.136068265738501</v>
      </c>
      <c r="AV48" s="10">
        <v>40.809360912448746</v>
      </c>
      <c r="AW48" s="10">
        <v>50.709566592211971</v>
      </c>
      <c r="AX48" s="10">
        <v>88.869115677695063</v>
      </c>
      <c r="AY48" s="10">
        <v>49.877579321056473</v>
      </c>
      <c r="AZ48" s="10">
        <v>28.2076964391598</v>
      </c>
      <c r="BA48" s="10">
        <v>17.377003666840483</v>
      </c>
      <c r="BB48" s="10">
        <v>94.367317850358674</v>
      </c>
      <c r="BC48" s="10">
        <v>63.858777472894992</v>
      </c>
      <c r="BD48" s="10">
        <v>37.587488462508858</v>
      </c>
      <c r="BE48" s="10">
        <v>53.093812369507773</v>
      </c>
    </row>
    <row r="49" spans="2:57" x14ac:dyDescent="0.3">
      <c r="B49" s="7">
        <v>2015</v>
      </c>
      <c r="C49" s="8" t="s">
        <v>92</v>
      </c>
      <c r="D49" s="8" t="s">
        <v>93</v>
      </c>
      <c r="E49" s="8" t="s">
        <v>158</v>
      </c>
      <c r="F49" s="11">
        <v>79.477059722633953</v>
      </c>
      <c r="G49" s="11">
        <v>20.905643930012719</v>
      </c>
      <c r="H49" s="11">
        <v>37.940194450132935</v>
      </c>
      <c r="I49" s="11">
        <v>82.349750120365741</v>
      </c>
      <c r="J49" s="11">
        <v>5.107441432407489</v>
      </c>
      <c r="K49" s="11">
        <v>5.8997669252643821</v>
      </c>
      <c r="L49" s="11">
        <v>5.6890867910564413</v>
      </c>
      <c r="M49" s="11">
        <v>53.106650603329712</v>
      </c>
      <c r="N49" s="11">
        <v>18.288616143582146</v>
      </c>
      <c r="O49" s="11">
        <v>47.538379281708679</v>
      </c>
      <c r="P49" s="11">
        <v>88.87044751463759</v>
      </c>
      <c r="Q49" s="11">
        <v>55.45353749844444</v>
      </c>
      <c r="R49" s="11">
        <v>4.5400715272664316</v>
      </c>
      <c r="S49" s="11">
        <v>36.644810018226167</v>
      </c>
      <c r="T49" s="11">
        <v>71.850417163312045</v>
      </c>
      <c r="U49" s="11">
        <v>96.94978212418674</v>
      </c>
      <c r="V49" s="11">
        <v>59.039175559500542</v>
      </c>
      <c r="W49" s="11">
        <v>9.9222418130753613</v>
      </c>
      <c r="X49" s="11">
        <v>64.906728950465393</v>
      </c>
      <c r="Y49" s="11">
        <v>16.516229379273817</v>
      </c>
      <c r="Z49" s="11">
        <v>40.978005683031185</v>
      </c>
      <c r="AA49" s="11">
        <v>98.442907902199778</v>
      </c>
      <c r="AB49" s="11">
        <v>72.019001673596691</v>
      </c>
      <c r="AC49" s="11">
        <v>43.001289823194163</v>
      </c>
      <c r="AD49" s="11">
        <v>25.670453024126559</v>
      </c>
      <c r="AE49" s="11">
        <v>58.945835463927096</v>
      </c>
      <c r="AF49" s="11">
        <v>21.316181970677619</v>
      </c>
      <c r="AG49" s="11">
        <v>43.514748145521942</v>
      </c>
      <c r="AH49" s="11">
        <v>95.179868019689351</v>
      </c>
      <c r="AI49" s="11">
        <v>5.6501137176015792</v>
      </c>
      <c r="AJ49" s="11">
        <v>65.660775018887463</v>
      </c>
      <c r="AK49" s="11">
        <v>87.50867231549762</v>
      </c>
      <c r="AL49" s="11">
        <v>82.972155959925672</v>
      </c>
      <c r="AM49" s="11">
        <v>30.692054550230097</v>
      </c>
      <c r="AN49" s="11">
        <v>7.4068748053789264</v>
      </c>
      <c r="AO49" s="11">
        <v>90.472820889635187</v>
      </c>
      <c r="AP49" s="11">
        <v>98.897931671148314</v>
      </c>
      <c r="AQ49" s="11">
        <v>37.109687996620757</v>
      </c>
      <c r="AR49" s="11">
        <v>58.777374753863157</v>
      </c>
      <c r="AS49" s="11">
        <v>67.510476034159325</v>
      </c>
      <c r="AT49" s="11">
        <v>17.164158162041264</v>
      </c>
      <c r="AU49" s="11">
        <v>66.902454657346127</v>
      </c>
      <c r="AV49" s="11">
        <v>83.534604742087041</v>
      </c>
      <c r="AW49" s="11">
        <v>90.499820082200571</v>
      </c>
      <c r="AX49" s="11">
        <v>61.306577670589277</v>
      </c>
      <c r="AY49" s="11">
        <v>36.599561740161924</v>
      </c>
      <c r="AZ49" s="11">
        <v>65.462442478944936</v>
      </c>
      <c r="BA49" s="11">
        <v>78.723068380551055</v>
      </c>
      <c r="BB49" s="11">
        <v>16.081241658991587</v>
      </c>
      <c r="BC49" s="11">
        <v>17.106383263661009</v>
      </c>
      <c r="BD49" s="11">
        <v>38.839261114618814</v>
      </c>
      <c r="BE49" s="11">
        <v>5.6598572084128884</v>
      </c>
    </row>
    <row r="50" spans="2:57" x14ac:dyDescent="0.3">
      <c r="B50" s="5">
        <v>2015</v>
      </c>
      <c r="C50" s="6" t="s">
        <v>94</v>
      </c>
      <c r="D50" s="6" t="s">
        <v>95</v>
      </c>
      <c r="E50" s="6" t="s">
        <v>159</v>
      </c>
      <c r="F50" s="10">
        <v>86.800488005165761</v>
      </c>
      <c r="G50" s="10">
        <v>58.300745829845191</v>
      </c>
      <c r="H50" s="10">
        <v>56.053837715681468</v>
      </c>
      <c r="I50" s="10">
        <v>33.022857950514805</v>
      </c>
      <c r="J50" s="10">
        <v>89.146347578493135</v>
      </c>
      <c r="K50" s="10">
        <v>57.122173544085207</v>
      </c>
      <c r="L50" s="10">
        <v>55.175505286976389</v>
      </c>
      <c r="M50" s="10">
        <v>46.711993962490425</v>
      </c>
      <c r="N50" s="10">
        <v>28.240685240690667</v>
      </c>
      <c r="O50" s="10">
        <v>2.1843068149475564</v>
      </c>
      <c r="P50" s="10">
        <v>62.808876409552461</v>
      </c>
      <c r="Q50" s="10">
        <v>69.121295423577536</v>
      </c>
      <c r="R50" s="10">
        <v>43.088790903927887</v>
      </c>
      <c r="S50" s="10">
        <v>75.169624927683103</v>
      </c>
      <c r="T50" s="10">
        <v>19.168587853599007</v>
      </c>
      <c r="U50" s="10">
        <v>2.440244099081379</v>
      </c>
      <c r="V50" s="10">
        <v>44.928503860882088</v>
      </c>
      <c r="W50" s="10">
        <v>11.269265192090906</v>
      </c>
      <c r="X50" s="10">
        <v>89.165113779393067</v>
      </c>
      <c r="Y50" s="10">
        <v>85.581175406906866</v>
      </c>
      <c r="Z50" s="10">
        <v>42.64082355940706</v>
      </c>
      <c r="AA50" s="10">
        <v>29.624362785974856</v>
      </c>
      <c r="AB50" s="10">
        <v>91.455341475588355</v>
      </c>
      <c r="AC50" s="10">
        <v>78.453375888067939</v>
      </c>
      <c r="AD50" s="10">
        <v>63.121082556832889</v>
      </c>
      <c r="AE50" s="10">
        <v>63.952713863659937</v>
      </c>
      <c r="AF50" s="10">
        <v>86.275974232278088</v>
      </c>
      <c r="AG50" s="10">
        <v>42.048786200074929</v>
      </c>
      <c r="AH50" s="10">
        <v>41.244473140599084</v>
      </c>
      <c r="AI50" s="10">
        <v>36.331196739893947</v>
      </c>
      <c r="AJ50" s="10">
        <v>62.517172724755973</v>
      </c>
      <c r="AK50" s="10">
        <v>82.768173167767443</v>
      </c>
      <c r="AL50" s="10">
        <v>29.47939949899223</v>
      </c>
      <c r="AM50" s="10">
        <v>90.496742616312233</v>
      </c>
      <c r="AN50" s="10">
        <v>73.97111671586957</v>
      </c>
      <c r="AO50" s="10">
        <v>47.635808981599382</v>
      </c>
      <c r="AP50" s="10">
        <v>33.417769476305402</v>
      </c>
      <c r="AQ50" s="10">
        <v>11.292244712354949</v>
      </c>
      <c r="AR50" s="10">
        <v>65.279740305169057</v>
      </c>
      <c r="AS50" s="10">
        <v>8.3650717996888062</v>
      </c>
      <c r="AT50" s="10">
        <v>5.8331368423797603</v>
      </c>
      <c r="AU50" s="10">
        <v>2.8926387245457597</v>
      </c>
      <c r="AV50" s="10">
        <v>48.726072190360128</v>
      </c>
      <c r="AW50" s="10">
        <v>85.070010576783545</v>
      </c>
      <c r="AX50" s="10">
        <v>75.451170499274212</v>
      </c>
      <c r="AY50" s="10">
        <v>89.850997718408081</v>
      </c>
      <c r="AZ50" s="10">
        <v>62.857500988042247</v>
      </c>
      <c r="BA50" s="10">
        <v>70.564908354269534</v>
      </c>
      <c r="BB50" s="10">
        <v>61.891602707896212</v>
      </c>
      <c r="BC50" s="10">
        <v>31.543149982438578</v>
      </c>
      <c r="BD50" s="10">
        <v>48.418953422696077</v>
      </c>
      <c r="BE50" s="10">
        <v>49.710249259991322</v>
      </c>
    </row>
    <row r="51" spans="2:57" x14ac:dyDescent="0.3">
      <c r="B51" s="7">
        <v>2015</v>
      </c>
      <c r="C51" s="8" t="s">
        <v>96</v>
      </c>
      <c r="D51" s="8" t="s">
        <v>97</v>
      </c>
      <c r="E51" s="8" t="s">
        <v>160</v>
      </c>
      <c r="F51" s="11">
        <v>9.3392288496722653</v>
      </c>
      <c r="G51" s="11">
        <v>42.802695731438277</v>
      </c>
      <c r="H51" s="11">
        <v>10.627352812239966</v>
      </c>
      <c r="I51" s="11">
        <v>33.168796636760256</v>
      </c>
      <c r="J51" s="11">
        <v>91.59419826325896</v>
      </c>
      <c r="K51" s="11">
        <v>81.350019706843042</v>
      </c>
      <c r="L51" s="11">
        <v>62.958623026818891</v>
      </c>
      <c r="M51" s="11">
        <v>73.231473186749355</v>
      </c>
      <c r="N51" s="11">
        <v>82.795571497259346</v>
      </c>
      <c r="O51" s="11">
        <v>62.798930834274877</v>
      </c>
      <c r="P51" s="11">
        <v>44.146437330450638</v>
      </c>
      <c r="Q51" s="11">
        <v>94.090412253565631</v>
      </c>
      <c r="R51" s="11">
        <v>25.438753447563901</v>
      </c>
      <c r="S51" s="11">
        <v>77.125354445958578</v>
      </c>
      <c r="T51" s="11">
        <v>14.643209634499177</v>
      </c>
      <c r="U51" s="11">
        <v>37.025138463589677</v>
      </c>
      <c r="V51" s="11">
        <v>73.742693881365852</v>
      </c>
      <c r="W51" s="11">
        <v>3.526845279956603</v>
      </c>
      <c r="X51" s="11">
        <v>41.315648359960932</v>
      </c>
      <c r="Y51" s="11">
        <v>59.123044312373942</v>
      </c>
      <c r="Z51" s="11">
        <v>64.390528016298575</v>
      </c>
      <c r="AA51" s="11">
        <v>33.075709652481187</v>
      </c>
      <c r="AB51" s="11">
        <v>47.772232313023821</v>
      </c>
      <c r="AC51" s="11">
        <v>52.416505389948512</v>
      </c>
      <c r="AD51" s="11">
        <v>67.657440666596429</v>
      </c>
      <c r="AE51" s="11">
        <v>91.335503254376661</v>
      </c>
      <c r="AF51" s="11">
        <v>48.669656645128455</v>
      </c>
      <c r="AG51" s="11">
        <v>15.174002445495683</v>
      </c>
      <c r="AH51" s="11">
        <v>85.41329264097422</v>
      </c>
      <c r="AI51" s="11">
        <v>67.228208702142751</v>
      </c>
      <c r="AJ51" s="11">
        <v>16.130607169798729</v>
      </c>
      <c r="AK51" s="11">
        <v>23.369655165802072</v>
      </c>
      <c r="AL51" s="11">
        <v>55.377952389388732</v>
      </c>
      <c r="AM51" s="11">
        <v>52.297458241848339</v>
      </c>
      <c r="AN51" s="11">
        <v>4.8329938072973704</v>
      </c>
      <c r="AO51" s="11">
        <v>55.061387799471092</v>
      </c>
      <c r="AP51" s="11">
        <v>62.815319554965598</v>
      </c>
      <c r="AQ51" s="11">
        <v>56.543068398809538</v>
      </c>
      <c r="AR51" s="11">
        <v>3.693852366782191</v>
      </c>
      <c r="AS51" s="11">
        <v>57.952308439823419</v>
      </c>
      <c r="AT51" s="11">
        <v>40.789187854278417</v>
      </c>
      <c r="AU51" s="11">
        <v>58.481747605312108</v>
      </c>
      <c r="AV51" s="11">
        <v>27.009451461445067</v>
      </c>
      <c r="AW51" s="11">
        <v>86.185006020505966</v>
      </c>
      <c r="AX51" s="11">
        <v>70.638390885441481</v>
      </c>
      <c r="AY51" s="11">
        <v>67.548505925898979</v>
      </c>
      <c r="AZ51" s="11">
        <v>57.432472784024569</v>
      </c>
      <c r="BA51" s="11">
        <v>83.928926097498618</v>
      </c>
      <c r="BB51" s="11">
        <v>85.854068126493218</v>
      </c>
      <c r="BC51" s="11">
        <v>0.49639676091891571</v>
      </c>
      <c r="BD51" s="11">
        <v>75.123820241061253</v>
      </c>
      <c r="BE51" s="11">
        <v>83.913011516630917</v>
      </c>
    </row>
    <row r="52" spans="2:57" x14ac:dyDescent="0.3">
      <c r="B52" s="5">
        <v>2015</v>
      </c>
      <c r="C52" s="6" t="s">
        <v>98</v>
      </c>
      <c r="D52" s="6" t="s">
        <v>99</v>
      </c>
      <c r="E52" s="6" t="s">
        <v>161</v>
      </c>
      <c r="F52" s="10">
        <v>49.778807599319549</v>
      </c>
      <c r="G52" s="10">
        <v>91.593967490450694</v>
      </c>
      <c r="H52" s="10">
        <v>85.976409315547443</v>
      </c>
      <c r="I52" s="10">
        <v>20.337169217713214</v>
      </c>
      <c r="J52" s="10">
        <v>22.503722097635858</v>
      </c>
      <c r="K52" s="10">
        <v>0.15017647641271115</v>
      </c>
      <c r="L52" s="10">
        <v>85.569126155644341</v>
      </c>
      <c r="M52" s="10">
        <v>72.229305333426666</v>
      </c>
      <c r="N52" s="10">
        <v>34.975229259426264</v>
      </c>
      <c r="O52" s="10">
        <v>33.329362012674871</v>
      </c>
      <c r="P52" s="10">
        <v>25.864872987016341</v>
      </c>
      <c r="Q52" s="10">
        <v>2.0898941663956894</v>
      </c>
      <c r="R52" s="10">
        <v>99.188392936206867</v>
      </c>
      <c r="S52" s="10">
        <v>36.956275048773954</v>
      </c>
      <c r="T52" s="10">
        <v>18.634692414013109</v>
      </c>
      <c r="U52" s="10">
        <v>47.379305503096781</v>
      </c>
      <c r="V52" s="10">
        <v>11.9074972279553</v>
      </c>
      <c r="W52" s="10">
        <v>86.408484454794674</v>
      </c>
      <c r="X52" s="10">
        <v>41.251084255972202</v>
      </c>
      <c r="Y52" s="10">
        <v>8.7617622126800576</v>
      </c>
      <c r="Z52" s="10">
        <v>97.281386652327967</v>
      </c>
      <c r="AA52" s="10">
        <v>54.63231319439511</v>
      </c>
      <c r="AB52" s="10">
        <v>0.34943973882543</v>
      </c>
      <c r="AC52" s="10">
        <v>85.829630565189646</v>
      </c>
      <c r="AD52" s="10">
        <v>41.721960560926149</v>
      </c>
      <c r="AE52" s="10">
        <v>49.823771422395232</v>
      </c>
      <c r="AF52" s="10">
        <v>84.3602011986832</v>
      </c>
      <c r="AG52" s="10">
        <v>45.607037774178785</v>
      </c>
      <c r="AH52" s="10">
        <v>5.60194677584599</v>
      </c>
      <c r="AI52" s="10">
        <v>51.267721124553312</v>
      </c>
      <c r="AJ52" s="10">
        <v>59.723594517180366</v>
      </c>
      <c r="AK52" s="10">
        <v>52.064708449286634</v>
      </c>
      <c r="AL52" s="10">
        <v>93.897515869977894</v>
      </c>
      <c r="AM52" s="10">
        <v>78.97371986707428</v>
      </c>
      <c r="AN52" s="10">
        <v>66.394814309739246</v>
      </c>
      <c r="AO52" s="10">
        <v>33.975521811258815</v>
      </c>
      <c r="AP52" s="10">
        <v>41.406277542186146</v>
      </c>
      <c r="AQ52" s="10">
        <v>45.219156016760842</v>
      </c>
      <c r="AR52" s="10">
        <v>74.808549617412282</v>
      </c>
      <c r="AS52" s="10">
        <v>7.1230899339104088</v>
      </c>
      <c r="AT52" s="10">
        <v>75.946493212334659</v>
      </c>
      <c r="AU52" s="10">
        <v>63.971050293622532</v>
      </c>
      <c r="AV52" s="10">
        <v>46.548795330183609</v>
      </c>
      <c r="AW52" s="10">
        <v>59.551784023562995</v>
      </c>
      <c r="AX52" s="10">
        <v>50.961819672252531</v>
      </c>
      <c r="AY52" s="10">
        <v>8.8702318724133029</v>
      </c>
      <c r="AZ52" s="10">
        <v>72.153301422510822</v>
      </c>
      <c r="BA52" s="10">
        <v>40.618978415990171</v>
      </c>
      <c r="BB52" s="10">
        <v>79.225722418736538</v>
      </c>
      <c r="BC52" s="10">
        <v>2.2230810442434246</v>
      </c>
      <c r="BD52" s="10">
        <v>95.280807873166964</v>
      </c>
      <c r="BE52" s="10">
        <v>1.6158859540896686</v>
      </c>
    </row>
    <row r="53" spans="2:57" x14ac:dyDescent="0.3">
      <c r="B53" s="7">
        <v>2015</v>
      </c>
      <c r="C53" s="8" t="s">
        <v>100</v>
      </c>
      <c r="D53" s="8" t="s">
        <v>101</v>
      </c>
      <c r="E53" s="8" t="s">
        <v>162</v>
      </c>
      <c r="F53" s="11">
        <v>63.870238233591678</v>
      </c>
      <c r="G53" s="11">
        <v>99.30703382898372</v>
      </c>
      <c r="H53" s="11">
        <v>70.021651357358266</v>
      </c>
      <c r="I53" s="11">
        <v>83.245499358384279</v>
      </c>
      <c r="J53" s="11">
        <v>46.672264189795307</v>
      </c>
      <c r="K53" s="11">
        <v>72.402842118259372</v>
      </c>
      <c r="L53" s="11">
        <v>26.743976138008907</v>
      </c>
      <c r="M53" s="11">
        <v>69.595979446639618</v>
      </c>
      <c r="N53" s="11">
        <v>82.076668820762833</v>
      </c>
      <c r="O53" s="11">
        <v>71.409855514693788</v>
      </c>
      <c r="P53" s="11">
        <v>89.113050639738162</v>
      </c>
      <c r="Q53" s="11">
        <v>90.185256581207142</v>
      </c>
      <c r="R53" s="11">
        <v>16.695819855150816</v>
      </c>
      <c r="S53" s="11">
        <v>58.644189289575635</v>
      </c>
      <c r="T53" s="11">
        <v>80.556094741925918</v>
      </c>
      <c r="U53" s="11">
        <v>74.74244106753865</v>
      </c>
      <c r="V53" s="11">
        <v>42.190529427802247</v>
      </c>
      <c r="W53" s="11">
        <v>4.6809197895875343</v>
      </c>
      <c r="X53" s="11">
        <v>83.07532372844986</v>
      </c>
      <c r="Y53" s="11">
        <v>47.186719481963365</v>
      </c>
      <c r="Z53" s="11">
        <v>52.41033941313863</v>
      </c>
      <c r="AA53" s="11">
        <v>7.5620009249647291</v>
      </c>
      <c r="AB53" s="11">
        <v>21.424502592261675</v>
      </c>
      <c r="AC53" s="11">
        <v>68.42276117131496</v>
      </c>
      <c r="AD53" s="11">
        <v>10.038732342658863</v>
      </c>
      <c r="AE53" s="11">
        <v>21.860461251580809</v>
      </c>
      <c r="AF53" s="11">
        <v>48.969574380814187</v>
      </c>
      <c r="AG53" s="11">
        <v>24.183595730588724</v>
      </c>
      <c r="AH53" s="11">
        <v>85.642464946281976</v>
      </c>
      <c r="AI53" s="11">
        <v>76.672350420878558</v>
      </c>
      <c r="AJ53" s="11">
        <v>12.643892627499753</v>
      </c>
      <c r="AK53" s="11">
        <v>2.5729374852409337</v>
      </c>
      <c r="AL53" s="11">
        <v>78.449931227261942</v>
      </c>
      <c r="AM53" s="11">
        <v>0.96030594437294114</v>
      </c>
      <c r="AN53" s="11">
        <v>6.741445289052395</v>
      </c>
      <c r="AO53" s="11">
        <v>77.605166796543216</v>
      </c>
      <c r="AP53" s="11">
        <v>36.725227147880943</v>
      </c>
      <c r="AQ53" s="11">
        <v>97.124153290589547</v>
      </c>
      <c r="AR53" s="11">
        <v>12.590292328334529</v>
      </c>
      <c r="AS53" s="11">
        <v>51.042165496383021</v>
      </c>
      <c r="AT53" s="11">
        <v>86.411098345615429</v>
      </c>
      <c r="AU53" s="11">
        <v>27.558964157341549</v>
      </c>
      <c r="AV53" s="11">
        <v>99.640617219729194</v>
      </c>
      <c r="AW53" s="11">
        <v>98.732384319706597</v>
      </c>
      <c r="AX53" s="11">
        <v>77.925765113879976</v>
      </c>
      <c r="AY53" s="11">
        <v>38.267086093360092</v>
      </c>
      <c r="AZ53" s="11">
        <v>66.767534978484932</v>
      </c>
      <c r="BA53" s="11">
        <v>4.8816297201747405</v>
      </c>
      <c r="BB53" s="11">
        <v>94.473925867749671</v>
      </c>
      <c r="BC53" s="11">
        <v>45.299788116104764</v>
      </c>
      <c r="BD53" s="11">
        <v>33.70670591841666</v>
      </c>
      <c r="BE53" s="11">
        <v>81.141692427312535</v>
      </c>
    </row>
    <row r="54" spans="2:57" x14ac:dyDescent="0.3">
      <c r="B54" s="5">
        <v>2015</v>
      </c>
      <c r="C54" s="6" t="s">
        <v>102</v>
      </c>
      <c r="D54" s="6" t="s">
        <v>103</v>
      </c>
      <c r="E54" s="6" t="s">
        <v>163</v>
      </c>
      <c r="F54" s="10">
        <v>61.602935165766851</v>
      </c>
      <c r="G54" s="10">
        <v>83.563308041034816</v>
      </c>
      <c r="H54" s="10">
        <v>53.602894890961615</v>
      </c>
      <c r="I54" s="10">
        <v>52.783861380672334</v>
      </c>
      <c r="J54" s="10">
        <v>1.6665329034864285</v>
      </c>
      <c r="K54" s="10">
        <v>62.802309397382459</v>
      </c>
      <c r="L54" s="10">
        <v>98.747933280183531</v>
      </c>
      <c r="M54" s="10">
        <v>41.667552724390276</v>
      </c>
      <c r="N54" s="10">
        <v>49.439183306952451</v>
      </c>
      <c r="O54" s="10">
        <v>91.214866436759394</v>
      </c>
      <c r="P54" s="10">
        <v>78.616382959777582</v>
      </c>
      <c r="Q54" s="10">
        <v>29.712443388385125</v>
      </c>
      <c r="R54" s="10">
        <v>80.570885426799194</v>
      </c>
      <c r="S54" s="10">
        <v>18.297674254468312</v>
      </c>
      <c r="T54" s="10">
        <v>31.042345667292537</v>
      </c>
      <c r="U54" s="10">
        <v>39.861279993213053</v>
      </c>
      <c r="V54" s="10">
        <v>54.187434678238709</v>
      </c>
      <c r="W54" s="10">
        <v>44.587665460764612</v>
      </c>
      <c r="X54" s="10">
        <v>17.018092477905988</v>
      </c>
      <c r="Y54" s="10">
        <v>6.2012005265343895E-2</v>
      </c>
      <c r="Z54" s="10">
        <v>4.5579169928845031</v>
      </c>
      <c r="AA54" s="10">
        <v>77.991902651753719</v>
      </c>
      <c r="AB54" s="10">
        <v>92.549212119468592</v>
      </c>
      <c r="AC54" s="10">
        <v>60.559421468544507</v>
      </c>
      <c r="AD54" s="10">
        <v>17.727546328885424</v>
      </c>
      <c r="AE54" s="10">
        <v>60.228369106457457</v>
      </c>
      <c r="AF54" s="10">
        <v>52.040610522394495</v>
      </c>
      <c r="AG54" s="10">
        <v>50.494892475801677</v>
      </c>
      <c r="AH54" s="10">
        <v>14.326224896834439</v>
      </c>
      <c r="AI54" s="10">
        <v>64.099860459362844</v>
      </c>
      <c r="AJ54" s="10">
        <v>29.568579457050916</v>
      </c>
      <c r="AK54" s="10">
        <v>29.016577600912196</v>
      </c>
      <c r="AL54" s="10">
        <v>43.58710911337932</v>
      </c>
      <c r="AM54" s="10">
        <v>72.316089011141187</v>
      </c>
      <c r="AN54" s="10">
        <v>4.8234499233232082</v>
      </c>
      <c r="AO54" s="10">
        <v>82.803244064986274</v>
      </c>
      <c r="AP54" s="10">
        <v>31.02238579199793</v>
      </c>
      <c r="AQ54" s="10">
        <v>21.010825035004142</v>
      </c>
      <c r="AR54" s="10">
        <v>78.608651131220057</v>
      </c>
      <c r="AS54" s="10">
        <v>33.950810331739447</v>
      </c>
      <c r="AT54" s="10">
        <v>54.819188988705733</v>
      </c>
      <c r="AU54" s="10">
        <v>70.808470662738188</v>
      </c>
      <c r="AV54" s="10">
        <v>78.704318099094849</v>
      </c>
      <c r="AW54" s="10">
        <v>25.88115551669684</v>
      </c>
      <c r="AX54" s="10">
        <v>73.365780294048392</v>
      </c>
      <c r="AY54" s="10">
        <v>82.655712259791486</v>
      </c>
      <c r="AZ54" s="10">
        <v>67.509581675728214</v>
      </c>
      <c r="BA54" s="10">
        <v>40.58491611170296</v>
      </c>
      <c r="BB54" s="10">
        <v>69.882526459523859</v>
      </c>
      <c r="BC54" s="10">
        <v>34.416298044833525</v>
      </c>
      <c r="BD54" s="10">
        <v>48.904064330730471</v>
      </c>
      <c r="BE54" s="10">
        <v>2.4285258210520078</v>
      </c>
    </row>
    <row r="55" spans="2:57" x14ac:dyDescent="0.3">
      <c r="B55" s="7">
        <v>2015</v>
      </c>
      <c r="C55" s="8" t="s">
        <v>104</v>
      </c>
      <c r="D55" s="8" t="s">
        <v>105</v>
      </c>
      <c r="E55" s="8" t="s">
        <v>164</v>
      </c>
      <c r="F55" s="11">
        <v>13.821718722495335</v>
      </c>
      <c r="G55" s="11">
        <v>62.52627443293477</v>
      </c>
      <c r="H55" s="11">
        <v>55.058481258760651</v>
      </c>
      <c r="I55" s="11">
        <v>62.844860832748765</v>
      </c>
      <c r="J55" s="11">
        <v>94.230629501069956</v>
      </c>
      <c r="K55" s="11">
        <v>44.780873133489038</v>
      </c>
      <c r="L55" s="11">
        <v>7.7425600388366096</v>
      </c>
      <c r="M55" s="11">
        <v>76.409473967009362</v>
      </c>
      <c r="N55" s="11">
        <v>74.739623275159772</v>
      </c>
      <c r="O55" s="11">
        <v>71.457755736868052</v>
      </c>
      <c r="P55" s="11">
        <v>22.038005284817707</v>
      </c>
      <c r="Q55" s="11">
        <v>90.724880128419827</v>
      </c>
      <c r="R55" s="11">
        <v>9.1323210235607419</v>
      </c>
      <c r="S55" s="11">
        <v>77.517272171861606</v>
      </c>
      <c r="T55" s="11">
        <v>47.680293535026209</v>
      </c>
      <c r="U55" s="11">
        <v>74.855373759236102</v>
      </c>
      <c r="V55" s="11">
        <v>44.132875542379921</v>
      </c>
      <c r="W55" s="11">
        <v>85.254629791771166</v>
      </c>
      <c r="X55" s="11">
        <v>15.986955350834631</v>
      </c>
      <c r="Y55" s="11">
        <v>32.97156585261353</v>
      </c>
      <c r="Z55" s="11">
        <v>44.967691592914619</v>
      </c>
      <c r="AA55" s="11">
        <v>69.115908044495512</v>
      </c>
      <c r="AB55" s="11">
        <v>37.624418911451777</v>
      </c>
      <c r="AC55" s="11">
        <v>60.49447486566325</v>
      </c>
      <c r="AD55" s="11">
        <v>0.68856512025343708</v>
      </c>
      <c r="AE55" s="11">
        <v>66.734997216332587</v>
      </c>
      <c r="AF55" s="11">
        <v>32.010368475944432</v>
      </c>
      <c r="AG55" s="11">
        <v>77.943707864645233</v>
      </c>
      <c r="AH55" s="11">
        <v>10.174382973796913</v>
      </c>
      <c r="AI55" s="11">
        <v>3.9417154528265108</v>
      </c>
      <c r="AJ55" s="11">
        <v>50.151263986201634</v>
      </c>
      <c r="AK55" s="11">
        <v>60.945595406728849</v>
      </c>
      <c r="AL55" s="11">
        <v>23.875672867537133</v>
      </c>
      <c r="AM55" s="11">
        <v>75.075290567380534</v>
      </c>
      <c r="AN55" s="11">
        <v>75.231834063381243</v>
      </c>
      <c r="AO55" s="11">
        <v>99.73040873159222</v>
      </c>
      <c r="AP55" s="11">
        <v>83.745761984253249</v>
      </c>
      <c r="AQ55" s="11">
        <v>24.392140538808615</v>
      </c>
      <c r="AR55" s="11">
        <v>1.5373900672210783</v>
      </c>
      <c r="AS55" s="11">
        <v>10.443023648853099</v>
      </c>
      <c r="AT55" s="11">
        <v>56.660448229425683</v>
      </c>
      <c r="AU55" s="11">
        <v>66.687168791894607</v>
      </c>
      <c r="AV55" s="11">
        <v>9.9035553351037198</v>
      </c>
      <c r="AW55" s="11">
        <v>65.839757874629711</v>
      </c>
      <c r="AX55" s="11">
        <v>84.732647194544313</v>
      </c>
      <c r="AY55" s="11">
        <v>79.233341831110437</v>
      </c>
      <c r="AZ55" s="11">
        <v>67.501910833355723</v>
      </c>
      <c r="BA55" s="11">
        <v>7.1506305455587116</v>
      </c>
      <c r="BB55" s="11">
        <v>82.730204062704487</v>
      </c>
      <c r="BC55" s="11">
        <v>58.138246255565875</v>
      </c>
      <c r="BD55" s="11">
        <v>28.391034945626757</v>
      </c>
      <c r="BE55" s="11">
        <v>48.201042594027086</v>
      </c>
    </row>
    <row r="56" spans="2:57" x14ac:dyDescent="0.3">
      <c r="B56" s="5">
        <v>2015</v>
      </c>
      <c r="C56" s="6" t="s">
        <v>80</v>
      </c>
      <c r="D56" s="6" t="s">
        <v>81</v>
      </c>
      <c r="E56" s="6" t="s">
        <v>165</v>
      </c>
      <c r="F56" s="10">
        <v>75.814881371446205</v>
      </c>
      <c r="G56" s="10">
        <v>5.3174435272290044</v>
      </c>
      <c r="H56" s="10">
        <v>98.957999785329093</v>
      </c>
      <c r="I56" s="10">
        <v>46.789487035263278</v>
      </c>
      <c r="J56" s="10">
        <v>37.844500318634729</v>
      </c>
      <c r="K56" s="10">
        <v>93.07559514339529</v>
      </c>
      <c r="L56" s="10">
        <v>1.6126503551904703</v>
      </c>
      <c r="M56" s="10">
        <v>62.767386362270209</v>
      </c>
      <c r="N56" s="10">
        <v>2.1219650531538625</v>
      </c>
      <c r="O56" s="10">
        <v>57.583106949831155</v>
      </c>
      <c r="P56" s="10">
        <v>52.252378056779278</v>
      </c>
      <c r="Q56" s="10">
        <v>44.439822942650473</v>
      </c>
      <c r="R56" s="10">
        <v>63.089512534473066</v>
      </c>
      <c r="S56" s="10">
        <v>52.070413042510189</v>
      </c>
      <c r="T56" s="10">
        <v>4.4722107419043038</v>
      </c>
      <c r="U56" s="10">
        <v>10.71947713327056</v>
      </c>
      <c r="V56" s="10">
        <v>17.66199404351244</v>
      </c>
      <c r="W56" s="10">
        <v>53.447823692614158</v>
      </c>
      <c r="X56" s="10">
        <v>41.509618179385022</v>
      </c>
      <c r="Y56" s="10">
        <v>91.269056391790869</v>
      </c>
      <c r="Z56" s="10">
        <v>50.616986048040488</v>
      </c>
      <c r="AA56" s="10">
        <v>57.162163945999346</v>
      </c>
      <c r="AB56" s="10">
        <v>47.100230523282619</v>
      </c>
      <c r="AC56" s="10">
        <v>24.627374666416912</v>
      </c>
      <c r="AD56" s="10">
        <v>7.0336915420764923</v>
      </c>
      <c r="AE56" s="10">
        <v>27.690850505608246</v>
      </c>
      <c r="AF56" s="10">
        <v>32.81322766588994</v>
      </c>
      <c r="AG56" s="10">
        <v>5.9275465754325403</v>
      </c>
      <c r="AH56" s="10">
        <v>11.131394358022817</v>
      </c>
      <c r="AI56" s="10">
        <v>76.191507585520768</v>
      </c>
      <c r="AJ56" s="10">
        <v>14.374010390136627</v>
      </c>
      <c r="AK56" s="10">
        <v>33.482713231902238</v>
      </c>
      <c r="AL56" s="10">
        <v>3.1663550026828524</v>
      </c>
      <c r="AM56" s="10">
        <v>32.14750169631143</v>
      </c>
      <c r="AN56" s="10">
        <v>2.8806287393313146</v>
      </c>
      <c r="AO56" s="10">
        <v>43.50320422683113</v>
      </c>
      <c r="AP56" s="10">
        <v>12.702894510192275</v>
      </c>
      <c r="AQ56" s="10">
        <v>60.032554390376077</v>
      </c>
      <c r="AR56" s="10">
        <v>89.985276664354643</v>
      </c>
      <c r="AS56" s="10">
        <v>49.966882579455977</v>
      </c>
      <c r="AT56" s="10">
        <v>27.964096833911899</v>
      </c>
      <c r="AU56" s="10">
        <v>45.73543617912734</v>
      </c>
      <c r="AV56" s="10">
        <v>70.456101504011343</v>
      </c>
      <c r="AW56" s="10">
        <v>14.455065953124747</v>
      </c>
      <c r="AX56" s="10">
        <v>54.975289058755763</v>
      </c>
      <c r="AY56" s="10">
        <v>42.206466941521761</v>
      </c>
      <c r="AZ56" s="10">
        <v>26.836249283692972</v>
      </c>
      <c r="BA56" s="10">
        <v>26.757241311046787</v>
      </c>
      <c r="BB56" s="10">
        <v>68.946077253747347</v>
      </c>
      <c r="BC56" s="10">
        <v>49.289088634549728</v>
      </c>
      <c r="BD56" s="10">
        <v>28.73309092279208</v>
      </c>
      <c r="BE56" s="10">
        <v>54.464605246336539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9</vt:i4>
      </vt:variant>
    </vt:vector>
  </HeadingPairs>
  <TitlesOfParts>
    <vt:vector size="13" baseType="lpstr">
      <vt:lpstr>index</vt:lpstr>
      <vt:lpstr>dash</vt:lpstr>
      <vt:lpstr>data</vt:lpstr>
      <vt:lpstr>data1</vt:lpstr>
      <vt:lpstr>cur_label</vt:lpstr>
      <vt:lpstr>cur_region</vt:lpstr>
      <vt:lpstr>cur_region_by_barchart</vt:lpstr>
      <vt:lpstr>cur_sel</vt:lpstr>
      <vt:lpstr>cur_sel_id</vt:lpstr>
      <vt:lpstr>enable_move</vt:lpstr>
      <vt:lpstr>INEXES</vt:lpstr>
      <vt:lpstr>MAXX</vt:lpstr>
      <vt:lpstr>MINX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散落于云海</cp:lastModifiedBy>
  <dcterms:created xsi:type="dcterms:W3CDTF">2015-06-05T18:19:34Z</dcterms:created>
  <dcterms:modified xsi:type="dcterms:W3CDTF">2019-12-31T06:42:49Z</dcterms:modified>
</cp:coreProperties>
</file>